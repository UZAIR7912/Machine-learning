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F:\Uzair\UzairGPTs\papa's work\"/>
    </mc:Choice>
  </mc:AlternateContent>
  <xr:revisionPtr revIDLastSave="0" documentId="13_ncr:1_{6A287930-19D1-4714-BC2F-AFBABCF32DBE}" xr6:coauthVersionLast="47" xr6:coauthVersionMax="47" xr10:uidLastSave="{00000000-0000-0000-0000-000000000000}"/>
  <bookViews>
    <workbookView xWindow="-120" yWindow="-120" windowWidth="29040" windowHeight="15720" tabRatio="699" firstSheet="1" activeTab="1" xr2:uid="{27E7C5EA-2B51-42B6-8D14-281ED1131DB7}"/>
  </bookViews>
  <sheets>
    <sheet name="Sheet1" sheetId="1" state="hidden" r:id="rId1"/>
    <sheet name="book1" sheetId="4" r:id="rId2"/>
    <sheet name="Nov-24 (2)" sheetId="3" state="hidden" r:id="rId3"/>
  </sheets>
  <definedNames>
    <definedName name="UNI_AA_VERSION" hidden="1">"322.1.0"</definedName>
    <definedName name="UNI_PRES_CLOSEST" hidden="1">512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MRECORD" hidden="1">64</definedName>
    <definedName name="UNI_PRES_MSTIME" hidden="1">8192</definedName>
    <definedName name="UNI_PRES_POST" hidden="1">256</definedName>
    <definedName name="UNI_PRES_PRIOR" hidden="1">2048</definedName>
    <definedName name="UNI_PRES_RECENT" hidden="1">1024</definedName>
    <definedName name="UNI_PRES_STATIC" hidden="1">128</definedName>
    <definedName name="UNI_PRES_TRANSPOSE" hidden="1">4096</definedName>
    <definedName name="UNI_RET_ATTRIB" hidden="1">64</definedName>
    <definedName name="UNI_RET_CONF" hidden="1">32</definedName>
    <definedName name="UNI_RET_DESC" hidden="1">4</definedName>
    <definedName name="UNI_RET_TAG" hidden="1">1</definedName>
    <definedName name="UNI_RET_TIME" hidden="1">8</definedName>
    <definedName name="UNI_RET_UNIT" hidden="1">2</definedName>
    <definedName name="UNI_RET_VALUE" hidden="1">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4" i="4" l="1"/>
  <c r="AG3" i="4"/>
  <c r="AG4" i="4"/>
  <c r="AG5" i="4"/>
  <c r="AG6" i="4"/>
  <c r="AG7" i="4"/>
  <c r="AG8" i="4"/>
  <c r="AG9" i="4"/>
  <c r="AG10" i="4"/>
  <c r="AG11" i="4"/>
  <c r="AG12" i="4"/>
  <c r="AG13" i="4"/>
  <c r="AG2" i="4"/>
  <c r="N14" i="4"/>
  <c r="AF16" i="4"/>
  <c r="AE16" i="4"/>
  <c r="AD16" i="4"/>
  <c r="AC16" i="4"/>
  <c r="AB16" i="4"/>
  <c r="AA16" i="4"/>
  <c r="Z16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AF15" i="4"/>
  <c r="AE15" i="4"/>
  <c r="AD15" i="4"/>
  <c r="AC15" i="4"/>
  <c r="AB15" i="4"/>
  <c r="AA15" i="4"/>
  <c r="Z15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AF14" i="4"/>
  <c r="AE14" i="4"/>
  <c r="AD14" i="4"/>
  <c r="AC14" i="4"/>
  <c r="AB14" i="4"/>
  <c r="AA14" i="4"/>
  <c r="Z14" i="4"/>
  <c r="Y14" i="4"/>
  <c r="X14" i="4"/>
  <c r="W14" i="4"/>
  <c r="V14" i="4"/>
  <c r="U14" i="4"/>
  <c r="T14" i="4"/>
  <c r="S14" i="4"/>
  <c r="R14" i="4"/>
  <c r="Q14" i="4"/>
  <c r="P14" i="4"/>
  <c r="O14" i="4"/>
  <c r="M14" i="4"/>
  <c r="L14" i="4"/>
  <c r="K14" i="4"/>
  <c r="J14" i="4"/>
  <c r="I14" i="4"/>
  <c r="H14" i="4"/>
  <c r="G14" i="4"/>
  <c r="F14" i="4"/>
  <c r="E14" i="4"/>
  <c r="D14" i="4"/>
  <c r="C14" i="4"/>
  <c r="B14" i="4"/>
  <c r="AG14" i="4" l="1"/>
  <c r="T21" i="4" s="1"/>
  <c r="AH8" i="4" s="1"/>
  <c r="AJ44" i="3"/>
  <c r="AJ20" i="3"/>
  <c r="AJ42" i="3"/>
  <c r="AK42" i="3"/>
  <c r="AL42" i="3"/>
  <c r="AI42" i="3"/>
  <c r="AL26" i="3"/>
  <c r="AL27" i="3"/>
  <c r="AL28" i="3"/>
  <c r="AL29" i="3"/>
  <c r="AL30" i="3"/>
  <c r="AL31" i="3"/>
  <c r="AL32" i="3"/>
  <c r="AL33" i="3"/>
  <c r="AL34" i="3"/>
  <c r="AL35" i="3"/>
  <c r="AL36" i="3"/>
  <c r="AL37" i="3"/>
  <c r="AL38" i="3"/>
  <c r="AL39" i="3"/>
  <c r="AL40" i="3"/>
  <c r="AL41" i="3"/>
  <c r="AL25" i="3"/>
  <c r="AL7" i="3"/>
  <c r="AL8" i="3"/>
  <c r="AL9" i="3"/>
  <c r="AL10" i="3"/>
  <c r="AL11" i="3"/>
  <c r="AL12" i="3"/>
  <c r="AL13" i="3"/>
  <c r="AL14" i="3"/>
  <c r="AL15" i="3"/>
  <c r="AL16" i="3"/>
  <c r="AL17" i="3"/>
  <c r="AL18" i="3"/>
  <c r="AL6" i="3"/>
  <c r="AJ26" i="3" a="1"/>
  <c r="AJ26" i="3" s="1"/>
  <c r="AJ27" i="3" a="1"/>
  <c r="AJ27" i="3" s="1"/>
  <c r="AJ28" i="3" a="1"/>
  <c r="AJ28" i="3" s="1"/>
  <c r="AJ29" i="3" a="1"/>
  <c r="AJ29" i="3" s="1"/>
  <c r="AJ30" i="3" a="1"/>
  <c r="AJ30" i="3" s="1"/>
  <c r="AJ31" i="3" a="1"/>
  <c r="AJ31" i="3" s="1"/>
  <c r="AJ32" i="3" a="1"/>
  <c r="AJ32" i="3" s="1"/>
  <c r="AJ33" i="3" a="1"/>
  <c r="AJ33" i="3" s="1"/>
  <c r="AJ34" i="3" a="1"/>
  <c r="AJ34" i="3" s="1"/>
  <c r="AJ35" i="3" a="1"/>
  <c r="AJ35" i="3" s="1"/>
  <c r="AJ36" i="3" a="1"/>
  <c r="AJ36" i="3" s="1"/>
  <c r="AJ37" i="3" a="1"/>
  <c r="AJ37" i="3" s="1"/>
  <c r="AJ38" i="3" a="1"/>
  <c r="AJ38" i="3" s="1"/>
  <c r="AJ39" i="3" a="1"/>
  <c r="AJ39" i="3" s="1"/>
  <c r="AJ40" i="3" a="1"/>
  <c r="AJ40" i="3" s="1"/>
  <c r="AJ41" i="3" a="1"/>
  <c r="AJ41" i="3" s="1"/>
  <c r="AJ25" i="3" a="1"/>
  <c r="AJ25" i="3" s="1"/>
  <c r="AI18" i="3"/>
  <c r="AJ7" i="3" a="1"/>
  <c r="AJ7" i="3" s="1"/>
  <c r="AJ8" i="3" a="1"/>
  <c r="AJ8" i="3" s="1"/>
  <c r="AJ9" i="3" a="1"/>
  <c r="AJ9" i="3" s="1"/>
  <c r="AJ10" i="3" a="1"/>
  <c r="AJ10" i="3" s="1"/>
  <c r="AJ11" i="3" a="1"/>
  <c r="AJ11" i="3" s="1"/>
  <c r="AJ12" i="3" a="1"/>
  <c r="AJ12" i="3" s="1"/>
  <c r="AJ13" i="3" a="1"/>
  <c r="AJ13" i="3" s="1"/>
  <c r="AJ14" i="3" a="1"/>
  <c r="AJ14" i="3" s="1"/>
  <c r="AJ15" i="3" a="1"/>
  <c r="AJ15" i="3" s="1"/>
  <c r="AJ16" i="3" a="1"/>
  <c r="AJ16" i="3" s="1"/>
  <c r="AJ17" i="3" a="1"/>
  <c r="AJ17" i="3" s="1"/>
  <c r="AJ6" i="3" a="1"/>
  <c r="AJ6" i="3" s="1"/>
  <c r="AH44" i="3"/>
  <c r="AG44" i="3"/>
  <c r="AF44" i="3"/>
  <c r="AE44" i="3"/>
  <c r="AD44" i="3"/>
  <c r="AC44" i="3"/>
  <c r="AB44" i="3"/>
  <c r="AA44" i="3"/>
  <c r="Z44" i="3"/>
  <c r="Y44" i="3"/>
  <c r="X44" i="3"/>
  <c r="W44" i="3"/>
  <c r="V44" i="3"/>
  <c r="U44" i="3"/>
  <c r="T44" i="3"/>
  <c r="S44" i="3"/>
  <c r="R44" i="3"/>
  <c r="Q44" i="3"/>
  <c r="P44" i="3"/>
  <c r="O44" i="3"/>
  <c r="N44" i="3"/>
  <c r="M44" i="3"/>
  <c r="L44" i="3"/>
  <c r="K44" i="3"/>
  <c r="J44" i="3"/>
  <c r="I44" i="3"/>
  <c r="H44" i="3"/>
  <c r="G44" i="3"/>
  <c r="F44" i="3"/>
  <c r="E44" i="3"/>
  <c r="AH43" i="3"/>
  <c r="AG43" i="3"/>
  <c r="AF43" i="3"/>
  <c r="AE43" i="3"/>
  <c r="AD43" i="3"/>
  <c r="AC43" i="3"/>
  <c r="AB43" i="3"/>
  <c r="AA43" i="3"/>
  <c r="Z43" i="3"/>
  <c r="Y43" i="3"/>
  <c r="X43" i="3"/>
  <c r="W43" i="3"/>
  <c r="V43" i="3"/>
  <c r="U43" i="3"/>
  <c r="T43" i="3"/>
  <c r="S43" i="3"/>
  <c r="R43" i="3"/>
  <c r="Q43" i="3"/>
  <c r="P43" i="3"/>
  <c r="O43" i="3"/>
  <c r="N43" i="3"/>
  <c r="M43" i="3"/>
  <c r="L43" i="3"/>
  <c r="K43" i="3"/>
  <c r="J43" i="3"/>
  <c r="I43" i="3"/>
  <c r="H43" i="3"/>
  <c r="G43" i="3"/>
  <c r="F43" i="3"/>
  <c r="E43" i="3"/>
  <c r="AH42" i="3"/>
  <c r="AG42" i="3"/>
  <c r="AF42" i="3"/>
  <c r="AE42" i="3"/>
  <c r="AD42" i="3"/>
  <c r="AC42" i="3"/>
  <c r="AB42" i="3"/>
  <c r="AA42" i="3"/>
  <c r="Z42" i="3"/>
  <c r="Y42" i="3"/>
  <c r="X42" i="3"/>
  <c r="W42" i="3"/>
  <c r="V42" i="3"/>
  <c r="U42" i="3"/>
  <c r="T42" i="3"/>
  <c r="S42" i="3"/>
  <c r="R42" i="3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AH20" i="3"/>
  <c r="AG20" i="3"/>
  <c r="AF20" i="3"/>
  <c r="AE20" i="3"/>
  <c r="AD20" i="3"/>
  <c r="AC20" i="3"/>
  <c r="AB20" i="3"/>
  <c r="AA20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AH19" i="3"/>
  <c r="AG19" i="3"/>
  <c r="AF19" i="3"/>
  <c r="AE19" i="3"/>
  <c r="AD19" i="3"/>
  <c r="AC19" i="3"/>
  <c r="AB19" i="3"/>
  <c r="AA19" i="3"/>
  <c r="Z19" i="3"/>
  <c r="Y19" i="3"/>
  <c r="X19" i="3"/>
  <c r="W19" i="3"/>
  <c r="V19" i="3"/>
  <c r="U19" i="3"/>
  <c r="T19" i="3"/>
  <c r="S19" i="3"/>
  <c r="R19" i="3"/>
  <c r="Q19" i="3"/>
  <c r="P19" i="3"/>
  <c r="O19" i="3"/>
  <c r="N19" i="3"/>
  <c r="M19" i="3"/>
  <c r="L19" i="3"/>
  <c r="K19" i="3"/>
  <c r="J19" i="3"/>
  <c r="I19" i="3"/>
  <c r="H19" i="3"/>
  <c r="G19" i="3"/>
  <c r="F19" i="3"/>
  <c r="E19" i="3"/>
  <c r="AH18" i="3"/>
  <c r="AG18" i="3"/>
  <c r="AF18" i="3"/>
  <c r="AE18" i="3"/>
  <c r="AD18" i="3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AH13" i="4" l="1"/>
  <c r="AH5" i="4"/>
  <c r="AH7" i="4"/>
  <c r="AH2" i="4"/>
  <c r="AH3" i="4"/>
  <c r="AH10" i="4"/>
  <c r="AH11" i="4"/>
  <c r="AH4" i="4"/>
  <c r="AH6" i="4"/>
  <c r="AH9" i="4"/>
  <c r="AH12" i="4"/>
  <c r="AJ18" i="3"/>
  <c r="AH14" i="4" l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K41" i="1"/>
  <c r="F41" i="1"/>
  <c r="G41" i="1"/>
  <c r="H41" i="1"/>
  <c r="I41" i="1"/>
  <c r="J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Z41" i="1"/>
  <c r="AA41" i="1"/>
  <c r="AB41" i="1"/>
  <c r="AC41" i="1"/>
  <c r="AD41" i="1"/>
  <c r="AE41" i="1"/>
  <c r="AF41" i="1"/>
  <c r="AG41" i="1"/>
  <c r="AH41" i="1"/>
  <c r="E41" i="1"/>
  <c r="AG43" i="1" l="1"/>
  <c r="E43" i="1"/>
  <c r="F42" i="1"/>
  <c r="G42" i="1"/>
  <c r="H42" i="1"/>
  <c r="I42" i="1"/>
  <c r="J42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Z42" i="1"/>
  <c r="AA42" i="1"/>
  <c r="AB42" i="1"/>
  <c r="AC42" i="1"/>
  <c r="AD42" i="1"/>
  <c r="AE42" i="1"/>
  <c r="AF42" i="1"/>
  <c r="AG42" i="1"/>
  <c r="AH42" i="1"/>
  <c r="F43" i="1"/>
  <c r="G43" i="1"/>
  <c r="H43" i="1"/>
  <c r="I43" i="1"/>
  <c r="J43" i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Y43" i="1"/>
  <c r="Z43" i="1"/>
  <c r="AA43" i="1"/>
  <c r="AB43" i="1"/>
  <c r="AC43" i="1"/>
  <c r="AD43" i="1"/>
  <c r="AE43" i="1"/>
  <c r="AF43" i="1"/>
  <c r="AH43" i="1"/>
  <c r="E4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<sst xmlns="http://schemas.openxmlformats.org/spreadsheetml/2006/main" count="2369" uniqueCount="97">
  <si>
    <t>SAT</t>
  </si>
  <si>
    <t>SUN</t>
  </si>
  <si>
    <t>MON</t>
  </si>
  <si>
    <t>TUE</t>
  </si>
  <si>
    <t>WED</t>
  </si>
  <si>
    <t>THU</t>
  </si>
  <si>
    <t>FRI</t>
  </si>
  <si>
    <t>R</t>
  </si>
  <si>
    <t>D</t>
  </si>
  <si>
    <t>N</t>
  </si>
  <si>
    <t>L</t>
  </si>
  <si>
    <t>L/R</t>
  </si>
  <si>
    <t>MONTH</t>
  </si>
  <si>
    <t>DAY</t>
  </si>
  <si>
    <t>Group</t>
  </si>
  <si>
    <t>Name</t>
  </si>
  <si>
    <t>S/N</t>
  </si>
  <si>
    <t>A</t>
  </si>
  <si>
    <t>RAJESH  SHARMA</t>
  </si>
  <si>
    <t>LOYISO BIKITSHA</t>
  </si>
  <si>
    <t>JAVED ALI KHAN</t>
  </si>
  <si>
    <t>B</t>
  </si>
  <si>
    <t xml:space="preserve">ABDUL SATTAR </t>
  </si>
  <si>
    <t>ZAHID RASOOL</t>
  </si>
  <si>
    <t>C</t>
  </si>
  <si>
    <t>ASADULLAH</t>
  </si>
  <si>
    <t>K GOPALA KRISHNAN</t>
  </si>
  <si>
    <t>ABDUL MALIK SARIF</t>
  </si>
  <si>
    <t>MUNIR AHMAD</t>
  </si>
  <si>
    <t>SAMBASIVA RAO</t>
  </si>
  <si>
    <t>ILIAS ALI KOYA</t>
  </si>
  <si>
    <t>E</t>
  </si>
  <si>
    <t>MUHAMMAD SALEH</t>
  </si>
  <si>
    <t>R/N</t>
  </si>
  <si>
    <t>R/D</t>
  </si>
  <si>
    <t>DWI YUDIANTO</t>
  </si>
  <si>
    <t>ABDUL RAHMAN M</t>
  </si>
  <si>
    <t>AMANCIK CIKGON</t>
  </si>
  <si>
    <t>HITESHBHAI MISTRY</t>
  </si>
  <si>
    <t>VISHNUPRASAD M</t>
  </si>
  <si>
    <t>RIDWAN HUSNI</t>
  </si>
  <si>
    <t>SOEMANTRI</t>
  </si>
  <si>
    <t>NAZIM JAMAL</t>
  </si>
  <si>
    <t>ARIF AKRAM KAMBOH</t>
  </si>
  <si>
    <t>MOHD SYFUJJAMAN</t>
  </si>
  <si>
    <t xml:space="preserve">CARLOS </t>
  </si>
  <si>
    <t xml:space="preserve">PIYUSHKUMAR </t>
  </si>
  <si>
    <t xml:space="preserve">VIKASKUMAR </t>
  </si>
  <si>
    <t xml:space="preserve">FRANCISCO </t>
  </si>
  <si>
    <t>BIJU ABDULLA</t>
  </si>
  <si>
    <t>Training</t>
  </si>
  <si>
    <t>Venue</t>
  </si>
  <si>
    <t>Staff Name</t>
  </si>
  <si>
    <t xml:space="preserve"> Date</t>
  </si>
  <si>
    <t>Time</t>
  </si>
  <si>
    <t>H2S</t>
  </si>
  <si>
    <t>MS Team</t>
  </si>
  <si>
    <t>EPTW-1</t>
  </si>
  <si>
    <t>PortaCabin</t>
  </si>
  <si>
    <t>07:30AM</t>
  </si>
  <si>
    <t>EPTW-2</t>
  </si>
  <si>
    <t>Training - August 2024</t>
  </si>
  <si>
    <t>JABER AL-MARRI</t>
  </si>
  <si>
    <t>09:00AM</t>
  </si>
  <si>
    <t>PT Panel Sept-24</t>
  </si>
  <si>
    <t>PT Field Sept-24</t>
  </si>
  <si>
    <t>AMANCIK CIKGON (Code: 90026)</t>
  </si>
  <si>
    <t>VIKASKUMAR (Code: 90027)</t>
  </si>
  <si>
    <t>FRANCISCO (Code: 90029)</t>
  </si>
  <si>
    <t>CARLOS (Code: 90025)</t>
  </si>
  <si>
    <t>ABDUL RAHMAN M (Code: 90028)</t>
  </si>
  <si>
    <t>K GOPALA KRISHNAN (Code: 89228)</t>
  </si>
  <si>
    <t>MUNIR AHMAD (Code: 89230)</t>
  </si>
  <si>
    <t>D/R</t>
  </si>
  <si>
    <t>NAEEM AHMAD</t>
  </si>
  <si>
    <t>PT Panel Nov-24</t>
  </si>
  <si>
    <t>PT Field Nov-24</t>
  </si>
  <si>
    <t>OTS</t>
  </si>
  <si>
    <t>Training - November 2024</t>
  </si>
  <si>
    <t>T</t>
  </si>
  <si>
    <t>ZAHID RASOOL (Code:84273)</t>
  </si>
  <si>
    <t>JAVED ALI KHAN (Code:94271)</t>
  </si>
  <si>
    <t>ABDUL SATTAR  (Code:94269)</t>
  </si>
  <si>
    <t>R/T</t>
  </si>
  <si>
    <t>AGT</t>
  </si>
  <si>
    <t>DWI (Code:94297)</t>
  </si>
  <si>
    <t>BIJU (Code:94297)</t>
  </si>
  <si>
    <t>SOEMANTRI (Code:94297)</t>
  </si>
  <si>
    <t>SYFFU (Code:94297)</t>
  </si>
  <si>
    <t>24/11 - 25/11</t>
  </si>
  <si>
    <t>N12</t>
  </si>
  <si>
    <t>D12</t>
  </si>
  <si>
    <t>SC</t>
  </si>
  <si>
    <t>Duty</t>
  </si>
  <si>
    <t>Total</t>
  </si>
  <si>
    <t>TRg</t>
  </si>
  <si>
    <t>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</si>
</sst>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"/>
  </numFmts>
  <fonts count="2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name val="Times New Roman"/>
      <family val="1"/>
    </font>
    <font>
      <sz val="12"/>
      <name val="Calibri"/>
      <family val="2"/>
      <scheme val="minor"/>
    </font>
    <font>
      <sz val="11"/>
      <color rgb="FF000000"/>
      <name val="Aril"/>
    </font>
    <font>
      <b/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4"/>
      <color theme="1"/>
      <name val="Times New Roman"/>
      <family val="1"/>
    </font>
    <font>
      <b/>
      <sz val="11"/>
      <color theme="1"/>
      <name val="Tahoma"/>
      <family val="2"/>
    </font>
    <font>
      <b/>
      <sz val="10"/>
      <color theme="1"/>
      <name val="Tahoma"/>
      <family val="2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Arial Nova Cond"/>
      <family val="2"/>
    </font>
    <font>
      <sz val="12"/>
      <color theme="1"/>
      <name val="Arial Nova Cond"/>
      <family val="2"/>
    </font>
    <font>
      <sz val="11"/>
      <color theme="1"/>
      <name val="Arial Nova Cond"/>
      <family val="2"/>
    </font>
  </fonts>
  <fills count="1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BE4D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0.39997558519241921"/>
        <bgColor indexed="64"/>
      </patternFill>
    </fill>
  </fills>
  <borders count="5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1">
    <xf numFmtId="0" fontId="0" fillId="0" borderId="0" xfId="0"/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6" fillId="6" borderId="17" xfId="0" applyFont="1" applyFill="1" applyBorder="1" applyAlignment="1">
      <alignment vertical="center"/>
    </xf>
    <xf numFmtId="0" fontId="6" fillId="6" borderId="19" xfId="0" applyFont="1" applyFill="1" applyBorder="1" applyAlignment="1">
      <alignment vertical="center"/>
    </xf>
    <xf numFmtId="0" fontId="6" fillId="6" borderId="21" xfId="0" applyFont="1" applyFill="1" applyBorder="1" applyAlignment="1">
      <alignment vertical="center"/>
    </xf>
    <xf numFmtId="0" fontId="6" fillId="7" borderId="23" xfId="0" applyFont="1" applyFill="1" applyBorder="1" applyAlignment="1">
      <alignment vertical="center"/>
    </xf>
    <xf numFmtId="0" fontId="6" fillId="7" borderId="19" xfId="0" applyFont="1" applyFill="1" applyBorder="1" applyAlignment="1">
      <alignment vertical="center"/>
    </xf>
    <xf numFmtId="0" fontId="6" fillId="8" borderId="23" xfId="0" applyFont="1" applyFill="1" applyBorder="1" applyAlignment="1">
      <alignment vertical="center"/>
    </xf>
    <xf numFmtId="0" fontId="6" fillId="8" borderId="19" xfId="0" applyFont="1" applyFill="1" applyBorder="1" applyAlignment="1">
      <alignment vertical="center"/>
    </xf>
    <xf numFmtId="0" fontId="6" fillId="8" borderId="21" xfId="0" applyFont="1" applyFill="1" applyBorder="1" applyAlignment="1">
      <alignment vertical="center"/>
    </xf>
    <xf numFmtId="0" fontId="6" fillId="9" borderId="23" xfId="0" applyFont="1" applyFill="1" applyBorder="1" applyAlignment="1">
      <alignment vertical="center"/>
    </xf>
    <xf numFmtId="0" fontId="6" fillId="9" borderId="19" xfId="0" applyFont="1" applyFill="1" applyBorder="1" applyAlignment="1">
      <alignment vertical="center"/>
    </xf>
    <xf numFmtId="0" fontId="6" fillId="9" borderId="21" xfId="0" applyFont="1" applyFill="1" applyBorder="1" applyAlignment="1">
      <alignment vertical="center"/>
    </xf>
    <xf numFmtId="0" fontId="6" fillId="10" borderId="26" xfId="0" applyFont="1" applyFill="1" applyBorder="1" applyAlignment="1">
      <alignment vertical="center"/>
    </xf>
    <xf numFmtId="0" fontId="5" fillId="11" borderId="4" xfId="0" applyFont="1" applyFill="1" applyBorder="1" applyAlignment="1">
      <alignment horizontal="center" vertical="center"/>
    </xf>
    <xf numFmtId="0" fontId="6" fillId="7" borderId="17" xfId="0" applyFont="1" applyFill="1" applyBorder="1" applyAlignment="1">
      <alignment vertical="center"/>
    </xf>
    <xf numFmtId="0" fontId="6" fillId="7" borderId="21" xfId="0" applyFont="1" applyFill="1" applyBorder="1" applyAlignment="1">
      <alignment vertical="center"/>
    </xf>
    <xf numFmtId="0" fontId="6" fillId="8" borderId="17" xfId="0" applyFont="1" applyFill="1" applyBorder="1" applyAlignment="1">
      <alignment vertical="center"/>
    </xf>
    <xf numFmtId="0" fontId="1" fillId="5" borderId="30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5" fillId="11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0" fillId="3" borderId="31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25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14" fillId="0" borderId="2" xfId="0" applyFont="1" applyBorder="1" applyAlignment="1">
      <alignment horizontal="left" vertical="center"/>
    </xf>
    <xf numFmtId="16" fontId="14" fillId="0" borderId="2" xfId="0" applyNumberFormat="1" applyFont="1" applyBorder="1" applyAlignment="1">
      <alignment horizontal="center" vertical="center"/>
    </xf>
    <xf numFmtId="0" fontId="14" fillId="0" borderId="4" xfId="0" applyFont="1" applyBorder="1" applyAlignment="1">
      <alignment horizontal="left" vertical="center"/>
    </xf>
    <xf numFmtId="16" fontId="14" fillId="0" borderId="4" xfId="0" applyNumberFormat="1" applyFont="1" applyBorder="1" applyAlignment="1">
      <alignment horizontal="center" vertical="center"/>
    </xf>
    <xf numFmtId="0" fontId="14" fillId="0" borderId="6" xfId="0" applyFont="1" applyBorder="1" applyAlignment="1">
      <alignment horizontal="left" vertical="center"/>
    </xf>
    <xf numFmtId="16" fontId="14" fillId="0" borderId="6" xfId="0" applyNumberFormat="1" applyFont="1" applyBorder="1" applyAlignment="1">
      <alignment horizontal="center" vertical="center"/>
    </xf>
    <xf numFmtId="0" fontId="11" fillId="0" borderId="39" xfId="0" applyFont="1" applyBorder="1" applyAlignment="1">
      <alignment horizontal="center" vertical="center"/>
    </xf>
    <xf numFmtId="0" fontId="11" fillId="0" borderId="40" xfId="0" applyFont="1" applyBorder="1" applyAlignment="1">
      <alignment horizontal="center" vertical="center"/>
    </xf>
    <xf numFmtId="0" fontId="14" fillId="0" borderId="27" xfId="0" applyFont="1" applyBorder="1" applyAlignment="1">
      <alignment horizontal="left" vertical="center"/>
    </xf>
    <xf numFmtId="0" fontId="14" fillId="0" borderId="45" xfId="0" applyFont="1" applyBorder="1" applyAlignment="1">
      <alignment horizontal="left" vertical="center"/>
    </xf>
    <xf numFmtId="0" fontId="12" fillId="0" borderId="38" xfId="0" applyFont="1" applyBorder="1" applyAlignment="1">
      <alignment horizontal="center" vertical="center"/>
    </xf>
    <xf numFmtId="16" fontId="14" fillId="0" borderId="27" xfId="0" applyNumberFormat="1" applyFont="1" applyBorder="1" applyAlignment="1">
      <alignment horizontal="center" vertical="center"/>
    </xf>
    <xf numFmtId="0" fontId="5" fillId="11" borderId="2" xfId="0" applyFont="1" applyFill="1" applyBorder="1" applyAlignment="1">
      <alignment horizontal="center" vertical="center"/>
    </xf>
    <xf numFmtId="0" fontId="5" fillId="0" borderId="44" xfId="0" applyFont="1" applyBorder="1" applyAlignment="1">
      <alignment horizontal="center" vertical="center"/>
    </xf>
    <xf numFmtId="0" fontId="5" fillId="2" borderId="36" xfId="0" applyFont="1" applyFill="1" applyBorder="1" applyAlignment="1">
      <alignment horizontal="center" vertical="center"/>
    </xf>
    <xf numFmtId="0" fontId="5" fillId="2" borderId="37" xfId="0" applyFont="1" applyFill="1" applyBorder="1" applyAlignment="1">
      <alignment horizontal="center" vertical="center"/>
    </xf>
    <xf numFmtId="0" fontId="5" fillId="2" borderId="44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15" fillId="14" borderId="4" xfId="0" applyFont="1" applyFill="1" applyBorder="1" applyAlignment="1">
      <alignment horizontal="center" vertical="center"/>
    </xf>
    <xf numFmtId="0" fontId="5" fillId="11" borderId="37" xfId="0" applyFont="1" applyFill="1" applyBorder="1" applyAlignment="1">
      <alignment horizontal="center" vertical="center"/>
    </xf>
    <xf numFmtId="0" fontId="14" fillId="0" borderId="46" xfId="0" applyFont="1" applyBorder="1" applyAlignment="1">
      <alignment horizontal="left" vertical="center"/>
    </xf>
    <xf numFmtId="16" fontId="14" fillId="0" borderId="7" xfId="0" applyNumberFormat="1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164" fontId="4" fillId="0" borderId="47" xfId="0" applyNumberFormat="1" applyFont="1" applyBorder="1" applyAlignment="1">
      <alignment horizontal="center" vertical="center"/>
    </xf>
    <xf numFmtId="164" fontId="4" fillId="0" borderId="7" xfId="0" applyNumberFormat="1" applyFont="1" applyBorder="1" applyAlignment="1">
      <alignment horizontal="center" vertical="center"/>
    </xf>
    <xf numFmtId="0" fontId="5" fillId="0" borderId="47" xfId="0" applyFont="1" applyBorder="1" applyAlignment="1">
      <alignment horizontal="center" vertical="center"/>
    </xf>
    <xf numFmtId="0" fontId="5" fillId="2" borderId="48" xfId="0" applyFont="1" applyFill="1" applyBorder="1" applyAlignment="1">
      <alignment horizontal="center" vertical="center"/>
    </xf>
    <xf numFmtId="0" fontId="5" fillId="2" borderId="34" xfId="0" applyFont="1" applyFill="1" applyBorder="1" applyAlignment="1">
      <alignment horizontal="center" vertical="center"/>
    </xf>
    <xf numFmtId="0" fontId="5" fillId="13" borderId="4" xfId="0" applyFont="1" applyFill="1" applyBorder="1" applyAlignment="1">
      <alignment horizontal="center" vertical="center"/>
    </xf>
    <xf numFmtId="164" fontId="4" fillId="0" borderId="48" xfId="0" applyNumberFormat="1" applyFont="1" applyBorder="1" applyAlignment="1">
      <alignment horizontal="center" vertical="center"/>
    </xf>
    <xf numFmtId="0" fontId="5" fillId="1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6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15" fillId="14" borderId="6" xfId="0" applyFont="1" applyFill="1" applyBorder="1" applyAlignment="1">
      <alignment horizontal="center" vertical="center"/>
    </xf>
    <xf numFmtId="0" fontId="5" fillId="13" borderId="6" xfId="0" applyFont="1" applyFill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2" borderId="47" xfId="0" applyFont="1" applyFill="1" applyBorder="1" applyAlignment="1">
      <alignment horizontal="center" vertical="center"/>
    </xf>
    <xf numFmtId="0" fontId="5" fillId="3" borderId="37" xfId="0" applyFont="1" applyFill="1" applyBorder="1" applyAlignment="1">
      <alignment horizontal="center" vertical="center"/>
    </xf>
    <xf numFmtId="0" fontId="6" fillId="8" borderId="24" xfId="0" applyFont="1" applyFill="1" applyBorder="1" applyAlignment="1">
      <alignment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47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3" fillId="0" borderId="50" xfId="0" applyFont="1" applyBorder="1" applyAlignment="1">
      <alignment horizontal="center" vertical="center"/>
    </xf>
    <xf numFmtId="0" fontId="5" fillId="11" borderId="7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2" borderId="53" xfId="0" applyFont="1" applyFill="1" applyBorder="1" applyAlignment="1">
      <alignment horizontal="center" vertical="center"/>
    </xf>
    <xf numFmtId="0" fontId="5" fillId="3" borderId="27" xfId="0" applyFont="1" applyFill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11" borderId="27" xfId="0" applyFont="1" applyFill="1" applyBorder="1" applyAlignment="1">
      <alignment horizontal="center" vertical="center"/>
    </xf>
    <xf numFmtId="0" fontId="5" fillId="2" borderId="27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/>
    </xf>
    <xf numFmtId="0" fontId="5" fillId="2" borderId="54" xfId="0" applyFont="1" applyFill="1" applyBorder="1" applyAlignment="1">
      <alignment horizontal="center" vertical="center"/>
    </xf>
    <xf numFmtId="164" fontId="4" fillId="0" borderId="5" xfId="0" applyNumberFormat="1" applyFont="1" applyBorder="1" applyAlignment="1">
      <alignment horizontal="center" vertical="center"/>
    </xf>
    <xf numFmtId="164" fontId="4" fillId="0" borderId="6" xfId="0" applyNumberFormat="1" applyFont="1" applyBorder="1" applyAlignment="1">
      <alignment horizontal="center" vertical="center"/>
    </xf>
    <xf numFmtId="164" fontId="4" fillId="0" borderId="44" xfId="0" applyNumberFormat="1" applyFont="1" applyBorder="1" applyAlignment="1">
      <alignment horizontal="center" vertical="center"/>
    </xf>
    <xf numFmtId="0" fontId="16" fillId="13" borderId="7" xfId="0" applyFont="1" applyFill="1" applyBorder="1" applyAlignment="1">
      <alignment horizontal="center" vertical="center"/>
    </xf>
    <xf numFmtId="0" fontId="0" fillId="3" borderId="49" xfId="0" applyFill="1" applyBorder="1" applyAlignment="1">
      <alignment horizontal="center" vertical="center"/>
    </xf>
    <xf numFmtId="0" fontId="5" fillId="11" borderId="3" xfId="0" applyFont="1" applyFill="1" applyBorder="1" applyAlignment="1">
      <alignment horizontal="center" vertical="center"/>
    </xf>
    <xf numFmtId="17" fontId="10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15" borderId="4" xfId="0" applyFont="1" applyFill="1" applyBorder="1" applyAlignment="1">
      <alignment horizontal="center" vertical="center"/>
    </xf>
    <xf numFmtId="0" fontId="17" fillId="0" borderId="45" xfId="0" applyFont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18" fillId="0" borderId="19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17" fillId="0" borderId="55" xfId="0" applyFont="1" applyBorder="1" applyAlignment="1">
      <alignment horizontal="center" vertical="center"/>
    </xf>
    <xf numFmtId="0" fontId="17" fillId="0" borderId="27" xfId="0" applyFont="1" applyBorder="1" applyAlignment="1">
      <alignment horizontal="center" vertical="center"/>
    </xf>
    <xf numFmtId="0" fontId="0" fillId="0" borderId="30" xfId="0" applyBorder="1"/>
    <xf numFmtId="0" fontId="0" fillId="0" borderId="56" xfId="0" applyBorder="1"/>
    <xf numFmtId="0" fontId="0" fillId="0" borderId="14" xfId="0" applyBorder="1"/>
    <xf numFmtId="0" fontId="0" fillId="0" borderId="32" xfId="0" applyBorder="1"/>
    <xf numFmtId="0" fontId="13" fillId="12" borderId="1" xfId="0" applyFont="1" applyFill="1" applyBorder="1" applyAlignment="1">
      <alignment horizontal="center" vertical="center"/>
    </xf>
    <xf numFmtId="0" fontId="13" fillId="12" borderId="2" xfId="0" applyFont="1" applyFill="1" applyBorder="1" applyAlignment="1">
      <alignment horizontal="center" vertical="center"/>
    </xf>
    <xf numFmtId="0" fontId="13" fillId="12" borderId="36" xfId="0" applyFont="1" applyFill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18" fontId="14" fillId="13" borderId="1" xfId="0" applyNumberFormat="1" applyFont="1" applyFill="1" applyBorder="1" applyAlignment="1">
      <alignment horizontal="center" vertical="center"/>
    </xf>
    <xf numFmtId="18" fontId="14" fillId="13" borderId="3" xfId="0" applyNumberFormat="1" applyFont="1" applyFill="1" applyBorder="1" applyAlignment="1">
      <alignment horizontal="center" vertical="center"/>
    </xf>
    <xf numFmtId="18" fontId="14" fillId="13" borderId="5" xfId="0" applyNumberFormat="1" applyFont="1" applyFill="1" applyBorder="1" applyAlignment="1">
      <alignment horizontal="center" vertical="center"/>
    </xf>
    <xf numFmtId="18" fontId="14" fillId="0" borderId="2" xfId="0" applyNumberFormat="1" applyFont="1" applyBorder="1" applyAlignment="1">
      <alignment horizontal="center" vertical="center"/>
    </xf>
    <xf numFmtId="18" fontId="14" fillId="0" borderId="4" xfId="0" applyNumberFormat="1" applyFont="1" applyBorder="1" applyAlignment="1">
      <alignment horizontal="center" vertical="center"/>
    </xf>
    <xf numFmtId="18" fontId="14" fillId="0" borderId="6" xfId="0" applyNumberFormat="1" applyFont="1" applyBorder="1" applyAlignment="1">
      <alignment horizontal="center" vertical="center"/>
    </xf>
    <xf numFmtId="18" fontId="14" fillId="0" borderId="36" xfId="0" applyNumberFormat="1" applyFont="1" applyBorder="1" applyAlignment="1">
      <alignment horizontal="center" vertical="center"/>
    </xf>
    <xf numFmtId="18" fontId="14" fillId="0" borderId="37" xfId="0" applyNumberFormat="1" applyFont="1" applyBorder="1" applyAlignment="1">
      <alignment horizontal="center" vertical="center"/>
    </xf>
    <xf numFmtId="18" fontId="14" fillId="0" borderId="44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1" fillId="5" borderId="16" xfId="0" applyFont="1" applyFill="1" applyBorder="1" applyAlignment="1">
      <alignment horizontal="center" vertical="center"/>
    </xf>
    <xf numFmtId="0" fontId="1" fillId="5" borderId="18" xfId="0" applyFont="1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17" fontId="10" fillId="0" borderId="34" xfId="0" applyNumberFormat="1" applyFont="1" applyBorder="1" applyAlignment="1">
      <alignment horizontal="center"/>
    </xf>
    <xf numFmtId="17" fontId="10" fillId="0" borderId="14" xfId="0" applyNumberFormat="1" applyFont="1" applyBorder="1" applyAlignment="1">
      <alignment horizontal="center"/>
    </xf>
    <xf numFmtId="17" fontId="10" fillId="0" borderId="32" xfId="0" applyNumberFormat="1" applyFont="1" applyBorder="1" applyAlignment="1">
      <alignment horizontal="center"/>
    </xf>
    <xf numFmtId="0" fontId="14" fillId="0" borderId="41" xfId="0" applyFont="1" applyBorder="1" applyAlignment="1">
      <alignment horizontal="center" vertical="center"/>
    </xf>
    <xf numFmtId="0" fontId="14" fillId="0" borderId="39" xfId="0" applyFont="1" applyBorder="1" applyAlignment="1">
      <alignment horizontal="center" vertical="center"/>
    </xf>
    <xf numFmtId="0" fontId="14" fillId="0" borderId="42" xfId="0" applyFont="1" applyBorder="1" applyAlignment="1">
      <alignment horizontal="center" vertical="center"/>
    </xf>
    <xf numFmtId="19" fontId="14" fillId="0" borderId="15" xfId="0" applyNumberFormat="1" applyFont="1" applyBorder="1" applyAlignment="1">
      <alignment horizontal="center" vertical="center"/>
    </xf>
    <xf numFmtId="19" fontId="14" fillId="0" borderId="40" xfId="0" applyNumberFormat="1" applyFont="1" applyBorder="1" applyAlignment="1">
      <alignment horizontal="center" vertical="center"/>
    </xf>
    <xf numFmtId="0" fontId="1" fillId="5" borderId="29" xfId="0" applyFont="1" applyFill="1" applyBorder="1" applyAlignment="1">
      <alignment horizontal="center" vertical="center"/>
    </xf>
    <xf numFmtId="18" fontId="14" fillId="0" borderId="40" xfId="0" applyNumberFormat="1" applyFont="1" applyBorder="1" applyAlignment="1">
      <alignment horizontal="center" vertical="center"/>
    </xf>
    <xf numFmtId="18" fontId="14" fillId="0" borderId="43" xfId="0" applyNumberFormat="1" applyFont="1" applyBorder="1" applyAlignment="1">
      <alignment horizontal="center" vertical="center"/>
    </xf>
    <xf numFmtId="0" fontId="14" fillId="13" borderId="13" xfId="0" applyFont="1" applyFill="1" applyBorder="1" applyAlignment="1">
      <alignment horizontal="center" vertical="center"/>
    </xf>
    <xf numFmtId="0" fontId="14" fillId="13" borderId="38" xfId="0" applyFont="1" applyFill="1" applyBorder="1" applyAlignment="1">
      <alignment horizontal="center" vertical="center"/>
    </xf>
    <xf numFmtId="0" fontId="14" fillId="13" borderId="41" xfId="0" applyFont="1" applyFill="1" applyBorder="1" applyAlignment="1">
      <alignment horizontal="center" vertical="center"/>
    </xf>
    <xf numFmtId="16" fontId="14" fillId="0" borderId="28" xfId="0" applyNumberFormat="1" applyFont="1" applyBorder="1" applyAlignment="1">
      <alignment horizontal="center" vertical="center" wrapText="1"/>
    </xf>
    <xf numFmtId="16" fontId="14" fillId="0" borderId="39" xfId="0" applyNumberFormat="1" applyFont="1" applyBorder="1" applyAlignment="1">
      <alignment horizontal="center" vertical="center" wrapText="1"/>
    </xf>
    <xf numFmtId="16" fontId="14" fillId="0" borderId="42" xfId="0" applyNumberFormat="1" applyFont="1" applyBorder="1" applyAlignment="1">
      <alignment horizontal="center" vertical="center" wrapText="1"/>
    </xf>
    <xf numFmtId="17" fontId="10" fillId="0" borderId="35" xfId="0" applyNumberFormat="1" applyFont="1" applyBorder="1" applyAlignment="1">
      <alignment horizontal="center"/>
    </xf>
    <xf numFmtId="17" fontId="10" fillId="0" borderId="51" xfId="0" applyNumberFormat="1" applyFont="1" applyBorder="1" applyAlignment="1">
      <alignment horizontal="center"/>
    </xf>
    <xf numFmtId="17" fontId="10" fillId="0" borderId="52" xfId="0" applyNumberFormat="1" applyFont="1" applyBorder="1" applyAlignment="1">
      <alignment horizontal="center"/>
    </xf>
    <xf numFmtId="18" fontId="14" fillId="13" borderId="13" xfId="0" applyNumberFormat="1" applyFont="1" applyFill="1" applyBorder="1" applyAlignment="1">
      <alignment horizontal="center" vertical="center"/>
    </xf>
    <xf numFmtId="18" fontId="14" fillId="13" borderId="38" xfId="0" applyNumberFormat="1" applyFont="1" applyFill="1" applyBorder="1" applyAlignment="1">
      <alignment horizontal="center" vertical="center"/>
    </xf>
    <xf numFmtId="18" fontId="14" fillId="13" borderId="41" xfId="0" applyNumberFormat="1" applyFont="1" applyFill="1" applyBorder="1" applyAlignment="1">
      <alignment horizontal="center" vertical="center"/>
    </xf>
    <xf numFmtId="0" fontId="0" fillId="0" borderId="39" xfId="0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</cellXfs>
  <cellStyles count="1">
    <cellStyle name="Normal" xfId="0" builtinId="0"/>
  </cellStyles>
  <dxfs count="52"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theme="5" tint="0.59996337778862885"/>
        </patternFill>
      </fill>
    </dxf>
    <dxf>
      <font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ont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ont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theme="5" tint="0.59996337778862885"/>
        </patternFill>
      </fill>
    </dxf>
    <dxf>
      <font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ont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theme="5" tint="0.59996337778862885"/>
        </patternFill>
      </fill>
    </dxf>
    <dxf>
      <font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ont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ont>
        <color theme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</dxfs>
  <tableStyles count="1" defaultTableStyle="TableStyleMedium2" defaultPivotStyle="PivotStyleLight16">
    <tableStyle name="Invisible" pivot="0" table="0" count="0" xr9:uid="{99980777-A167-4A32-B20C-6D5F37E61BF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83925-B99F-4BA2-8149-27A0E9CFB80A}">
  <sheetPr codeName="Sheet1"/>
  <dimension ref="B2:AO43"/>
  <sheetViews>
    <sheetView zoomScale="90" zoomScaleNormal="90" workbookViewId="0">
      <selection activeCell="AL37" sqref="AL37"/>
    </sheetView>
  </sheetViews>
  <sheetFormatPr defaultColWidth="6" defaultRowHeight="15"/>
  <cols>
    <col min="3" max="3" width="24" bestFit="1" customWidth="1"/>
    <col min="4" max="4" width="7" customWidth="1"/>
    <col min="37" max="37" width="10.5703125" bestFit="1" customWidth="1"/>
    <col min="38" max="38" width="14.28515625" bestFit="1" customWidth="1"/>
    <col min="39" max="39" width="34.28515625" bestFit="1" customWidth="1"/>
    <col min="40" max="40" width="9" bestFit="1" customWidth="1"/>
    <col min="41" max="41" width="13.85546875" bestFit="1" customWidth="1"/>
  </cols>
  <sheetData>
    <row r="2" spans="2:41" ht="15.75" thickBot="1"/>
    <row r="3" spans="2:41" ht="19.5" thickBot="1">
      <c r="B3" s="158" t="s">
        <v>12</v>
      </c>
      <c r="C3" s="159"/>
      <c r="D3" s="160"/>
      <c r="E3" s="166" t="s">
        <v>64</v>
      </c>
      <c r="F3" s="167"/>
      <c r="G3" s="167"/>
      <c r="H3" s="167"/>
      <c r="I3" s="167"/>
      <c r="J3" s="167"/>
      <c r="K3" s="167"/>
      <c r="L3" s="167"/>
      <c r="M3" s="167"/>
      <c r="N3" s="167"/>
      <c r="O3" s="167"/>
      <c r="P3" s="167"/>
      <c r="Q3" s="167"/>
      <c r="R3" s="167"/>
      <c r="S3" s="167"/>
      <c r="T3" s="167"/>
      <c r="U3" s="167"/>
      <c r="V3" s="167"/>
      <c r="W3" s="167"/>
      <c r="X3" s="167"/>
      <c r="Y3" s="167"/>
      <c r="Z3" s="167"/>
      <c r="AA3" s="167"/>
      <c r="AB3" s="167"/>
      <c r="AC3" s="167"/>
      <c r="AD3" s="167"/>
      <c r="AE3" s="167"/>
      <c r="AF3" s="167"/>
      <c r="AG3" s="167"/>
      <c r="AH3" s="168"/>
    </row>
    <row r="4" spans="2:41" ht="15.75" thickBot="1">
      <c r="B4" s="161" t="s">
        <v>13</v>
      </c>
      <c r="C4" s="162"/>
      <c r="D4" s="162"/>
      <c r="E4" s="38" t="s">
        <v>5</v>
      </c>
      <c r="F4" s="39" t="s">
        <v>6</v>
      </c>
      <c r="G4" s="39" t="s">
        <v>0</v>
      </c>
      <c r="H4" s="39" t="s">
        <v>1</v>
      </c>
      <c r="I4" s="39" t="s">
        <v>2</v>
      </c>
      <c r="J4" s="39" t="s">
        <v>3</v>
      </c>
      <c r="K4" s="39" t="s">
        <v>4</v>
      </c>
      <c r="L4" s="39" t="s">
        <v>5</v>
      </c>
      <c r="M4" s="39" t="s">
        <v>6</v>
      </c>
      <c r="N4" s="39" t="s">
        <v>0</v>
      </c>
      <c r="O4" s="39" t="s">
        <v>1</v>
      </c>
      <c r="P4" s="39" t="s">
        <v>2</v>
      </c>
      <c r="Q4" s="39" t="s">
        <v>3</v>
      </c>
      <c r="R4" s="39" t="s">
        <v>4</v>
      </c>
      <c r="S4" s="39" t="s">
        <v>5</v>
      </c>
      <c r="T4" s="39" t="s">
        <v>6</v>
      </c>
      <c r="U4" s="39" t="s">
        <v>0</v>
      </c>
      <c r="V4" s="39" t="s">
        <v>1</v>
      </c>
      <c r="W4" s="39" t="s">
        <v>2</v>
      </c>
      <c r="X4" s="39" t="s">
        <v>3</v>
      </c>
      <c r="Y4" s="39" t="s">
        <v>4</v>
      </c>
      <c r="Z4" s="39" t="s">
        <v>5</v>
      </c>
      <c r="AA4" s="39" t="s">
        <v>6</v>
      </c>
      <c r="AB4" s="39" t="s">
        <v>0</v>
      </c>
      <c r="AC4" s="39" t="s">
        <v>1</v>
      </c>
      <c r="AD4" s="39" t="s">
        <v>2</v>
      </c>
      <c r="AE4" s="39" t="s">
        <v>3</v>
      </c>
      <c r="AF4" s="39" t="s">
        <v>4</v>
      </c>
      <c r="AG4" s="39" t="s">
        <v>5</v>
      </c>
      <c r="AH4" s="40" t="s">
        <v>6</v>
      </c>
    </row>
    <row r="5" spans="2:41" ht="15.75" thickBot="1">
      <c r="B5" s="34" t="s">
        <v>14</v>
      </c>
      <c r="C5" s="35" t="s">
        <v>15</v>
      </c>
      <c r="D5" s="36" t="s">
        <v>16</v>
      </c>
      <c r="E5" s="84">
        <v>45474</v>
      </c>
      <c r="F5" s="85">
        <v>45475</v>
      </c>
      <c r="G5" s="85">
        <v>45476</v>
      </c>
      <c r="H5" s="85">
        <v>45477</v>
      </c>
      <c r="I5" s="85">
        <v>45478</v>
      </c>
      <c r="J5" s="85">
        <v>45479</v>
      </c>
      <c r="K5" s="85">
        <v>45480</v>
      </c>
      <c r="L5" s="85">
        <v>45481</v>
      </c>
      <c r="M5" s="85">
        <v>45482</v>
      </c>
      <c r="N5" s="85">
        <v>45483</v>
      </c>
      <c r="O5" s="85">
        <v>45484</v>
      </c>
      <c r="P5" s="85">
        <v>45485</v>
      </c>
      <c r="Q5" s="85">
        <v>45486</v>
      </c>
      <c r="R5" s="85">
        <v>45487</v>
      </c>
      <c r="S5" s="85">
        <v>45488</v>
      </c>
      <c r="T5" s="85">
        <v>45489</v>
      </c>
      <c r="U5" s="85">
        <v>45490</v>
      </c>
      <c r="V5" s="85">
        <v>45491</v>
      </c>
      <c r="W5" s="85">
        <v>45492</v>
      </c>
      <c r="X5" s="85">
        <v>45493</v>
      </c>
      <c r="Y5" s="85">
        <v>45494</v>
      </c>
      <c r="Z5" s="85">
        <v>45495</v>
      </c>
      <c r="AA5" s="85">
        <v>45496</v>
      </c>
      <c r="AB5" s="85">
        <v>45497</v>
      </c>
      <c r="AC5" s="85">
        <v>45498</v>
      </c>
      <c r="AD5" s="85">
        <v>45499</v>
      </c>
      <c r="AE5" s="85">
        <v>45500</v>
      </c>
      <c r="AF5" s="85">
        <v>45501</v>
      </c>
      <c r="AG5" s="85">
        <v>45502</v>
      </c>
      <c r="AH5" s="90">
        <v>45503</v>
      </c>
    </row>
    <row r="6" spans="2:41" ht="16.5" thickBot="1">
      <c r="B6" s="163" t="s">
        <v>17</v>
      </c>
      <c r="C6" s="15" t="s">
        <v>18</v>
      </c>
      <c r="D6" s="57">
        <v>19371</v>
      </c>
      <c r="E6" s="10" t="s">
        <v>9</v>
      </c>
      <c r="F6" s="3" t="s">
        <v>9</v>
      </c>
      <c r="G6" s="2" t="s">
        <v>7</v>
      </c>
      <c r="H6" s="2" t="s">
        <v>7</v>
      </c>
      <c r="I6" s="2" t="s">
        <v>7</v>
      </c>
      <c r="J6" s="2" t="s">
        <v>7</v>
      </c>
      <c r="K6" s="3" t="s">
        <v>8</v>
      </c>
      <c r="L6" s="3" t="s">
        <v>8</v>
      </c>
      <c r="M6" s="3" t="s">
        <v>9</v>
      </c>
      <c r="N6" s="3" t="s">
        <v>9</v>
      </c>
      <c r="O6" s="2" t="s">
        <v>7</v>
      </c>
      <c r="P6" s="2" t="s">
        <v>7</v>
      </c>
      <c r="Q6" s="2" t="s">
        <v>7</v>
      </c>
      <c r="R6" s="2" t="s">
        <v>7</v>
      </c>
      <c r="S6" s="3" t="s">
        <v>8</v>
      </c>
      <c r="T6" s="3" t="s">
        <v>8</v>
      </c>
      <c r="U6" s="3" t="s">
        <v>9</v>
      </c>
      <c r="V6" s="3" t="s">
        <v>9</v>
      </c>
      <c r="W6" s="2" t="s">
        <v>7</v>
      </c>
      <c r="X6" s="2" t="s">
        <v>7</v>
      </c>
      <c r="Y6" s="2" t="s">
        <v>7</v>
      </c>
      <c r="Z6" s="2" t="s">
        <v>7</v>
      </c>
      <c r="AA6" s="3" t="s">
        <v>8</v>
      </c>
      <c r="AB6" s="3" t="s">
        <v>8</v>
      </c>
      <c r="AC6" s="3" t="s">
        <v>9</v>
      </c>
      <c r="AD6" s="3" t="s">
        <v>9</v>
      </c>
      <c r="AE6" s="2" t="s">
        <v>7</v>
      </c>
      <c r="AF6" s="2" t="s">
        <v>7</v>
      </c>
      <c r="AG6" s="2" t="s">
        <v>7</v>
      </c>
      <c r="AH6" s="72" t="s">
        <v>7</v>
      </c>
    </row>
    <row r="7" spans="2:41" ht="15.75">
      <c r="B7" s="164"/>
      <c r="C7" s="16" t="s">
        <v>19</v>
      </c>
      <c r="D7" s="50">
        <v>40516</v>
      </c>
      <c r="E7" s="11" t="s">
        <v>9</v>
      </c>
      <c r="F7" s="6" t="s">
        <v>9</v>
      </c>
      <c r="G7" s="5" t="s">
        <v>7</v>
      </c>
      <c r="H7" s="5" t="s">
        <v>7</v>
      </c>
      <c r="I7" s="5" t="s">
        <v>7</v>
      </c>
      <c r="J7" s="5" t="s">
        <v>7</v>
      </c>
      <c r="K7" s="6" t="s">
        <v>8</v>
      </c>
      <c r="L7" s="6" t="s">
        <v>8</v>
      </c>
      <c r="M7" s="6" t="s">
        <v>9</v>
      </c>
      <c r="N7" s="6" t="s">
        <v>9</v>
      </c>
      <c r="O7" s="5" t="s">
        <v>7</v>
      </c>
      <c r="P7" s="5" t="s">
        <v>7</v>
      </c>
      <c r="Q7" s="5" t="s">
        <v>7</v>
      </c>
      <c r="R7" s="5" t="s">
        <v>7</v>
      </c>
      <c r="S7" s="6" t="s">
        <v>8</v>
      </c>
      <c r="T7" s="6" t="s">
        <v>8</v>
      </c>
      <c r="U7" s="6" t="s">
        <v>9</v>
      </c>
      <c r="V7" s="6" t="s">
        <v>9</v>
      </c>
      <c r="W7" s="5" t="s">
        <v>7</v>
      </c>
      <c r="X7" s="5" t="s">
        <v>7</v>
      </c>
      <c r="Y7" s="5" t="s">
        <v>7</v>
      </c>
      <c r="Z7" s="5" t="s">
        <v>7</v>
      </c>
      <c r="AA7" s="6" t="s">
        <v>8</v>
      </c>
      <c r="AB7" s="6" t="s">
        <v>8</v>
      </c>
      <c r="AC7" s="6" t="s">
        <v>9</v>
      </c>
      <c r="AD7" s="6" t="s">
        <v>9</v>
      </c>
      <c r="AE7" s="5" t="s">
        <v>7</v>
      </c>
      <c r="AF7" s="5" t="s">
        <v>7</v>
      </c>
      <c r="AG7" s="5" t="s">
        <v>7</v>
      </c>
      <c r="AH7" s="73" t="s">
        <v>7</v>
      </c>
      <c r="AK7" s="141" t="s">
        <v>61</v>
      </c>
      <c r="AL7" s="142"/>
      <c r="AM7" s="142"/>
      <c r="AN7" s="142"/>
      <c r="AO7" s="143"/>
    </row>
    <row r="8" spans="2:41" ht="16.5" thickBot="1">
      <c r="B8" s="164"/>
      <c r="C8" s="17" t="s">
        <v>20</v>
      </c>
      <c r="D8" s="49">
        <v>17983</v>
      </c>
      <c r="E8" s="86" t="s">
        <v>9</v>
      </c>
      <c r="F8" s="82" t="s">
        <v>9</v>
      </c>
      <c r="G8" s="83" t="s">
        <v>7</v>
      </c>
      <c r="H8" s="83" t="s">
        <v>7</v>
      </c>
      <c r="I8" s="83" t="s">
        <v>7</v>
      </c>
      <c r="J8" s="83" t="s">
        <v>7</v>
      </c>
      <c r="K8" s="82" t="s">
        <v>8</v>
      </c>
      <c r="L8" s="82" t="s">
        <v>8</v>
      </c>
      <c r="M8" s="82" t="s">
        <v>9</v>
      </c>
      <c r="N8" s="82" t="s">
        <v>9</v>
      </c>
      <c r="O8" s="83" t="s">
        <v>7</v>
      </c>
      <c r="P8" s="83" t="s">
        <v>7</v>
      </c>
      <c r="Q8" s="83" t="s">
        <v>7</v>
      </c>
      <c r="R8" s="83" t="s">
        <v>7</v>
      </c>
      <c r="S8" s="82" t="s">
        <v>8</v>
      </c>
      <c r="T8" s="82" t="s">
        <v>8</v>
      </c>
      <c r="U8" s="82" t="s">
        <v>9</v>
      </c>
      <c r="V8" s="82" t="s">
        <v>9</v>
      </c>
      <c r="W8" s="83" t="s">
        <v>7</v>
      </c>
      <c r="X8" s="83" t="s">
        <v>7</v>
      </c>
      <c r="Y8" s="83" t="s">
        <v>7</v>
      </c>
      <c r="Z8" s="83" t="s">
        <v>7</v>
      </c>
      <c r="AA8" s="82" t="s">
        <v>8</v>
      </c>
      <c r="AB8" s="82" t="s">
        <v>8</v>
      </c>
      <c r="AC8" s="82" t="s">
        <v>9</v>
      </c>
      <c r="AD8" s="82" t="s">
        <v>9</v>
      </c>
      <c r="AE8" s="83" t="s">
        <v>7</v>
      </c>
      <c r="AF8" s="83" t="s">
        <v>7</v>
      </c>
      <c r="AG8" s="83" t="s">
        <v>7</v>
      </c>
      <c r="AH8" s="87" t="s">
        <v>7</v>
      </c>
      <c r="AK8" s="68" t="s">
        <v>50</v>
      </c>
      <c r="AL8" s="64" t="s">
        <v>51</v>
      </c>
      <c r="AM8" s="64" t="s">
        <v>52</v>
      </c>
      <c r="AN8" s="64" t="s">
        <v>53</v>
      </c>
      <c r="AO8" s="65" t="s">
        <v>54</v>
      </c>
    </row>
    <row r="9" spans="2:41" ht="15.75">
      <c r="B9" s="163" t="s">
        <v>21</v>
      </c>
      <c r="C9" s="18" t="s">
        <v>22</v>
      </c>
      <c r="D9" s="57">
        <v>19575</v>
      </c>
      <c r="E9" s="1" t="s">
        <v>7</v>
      </c>
      <c r="F9" s="2" t="s">
        <v>7</v>
      </c>
      <c r="G9" s="2" t="s">
        <v>7</v>
      </c>
      <c r="H9" s="2" t="s">
        <v>7</v>
      </c>
      <c r="I9" s="3" t="s">
        <v>8</v>
      </c>
      <c r="J9" s="3" t="s">
        <v>8</v>
      </c>
      <c r="K9" s="3" t="s">
        <v>9</v>
      </c>
      <c r="L9" s="3" t="s">
        <v>9</v>
      </c>
      <c r="M9" s="2" t="s">
        <v>7</v>
      </c>
      <c r="N9" s="2" t="s">
        <v>7</v>
      </c>
      <c r="O9" s="2" t="s">
        <v>7</v>
      </c>
      <c r="P9" s="2" t="s">
        <v>7</v>
      </c>
      <c r="Q9" s="3" t="s">
        <v>8</v>
      </c>
      <c r="R9" s="3" t="s">
        <v>8</v>
      </c>
      <c r="S9" s="3" t="s">
        <v>9</v>
      </c>
      <c r="T9" s="3" t="s">
        <v>9</v>
      </c>
      <c r="U9" s="2" t="s">
        <v>7</v>
      </c>
      <c r="V9" s="2" t="s">
        <v>7</v>
      </c>
      <c r="W9" s="2" t="s">
        <v>7</v>
      </c>
      <c r="X9" s="2" t="s">
        <v>7</v>
      </c>
      <c r="Y9" s="3" t="s">
        <v>8</v>
      </c>
      <c r="Z9" s="3" t="s">
        <v>8</v>
      </c>
      <c r="AA9" s="3" t="s">
        <v>9</v>
      </c>
      <c r="AB9" s="3" t="s">
        <v>9</v>
      </c>
      <c r="AC9" s="2" t="s">
        <v>7</v>
      </c>
      <c r="AD9" s="2" t="s">
        <v>7</v>
      </c>
      <c r="AE9" s="2" t="s">
        <v>7</v>
      </c>
      <c r="AF9" s="2" t="s">
        <v>7</v>
      </c>
      <c r="AG9" s="3" t="s">
        <v>8</v>
      </c>
      <c r="AH9" s="41" t="s">
        <v>8</v>
      </c>
      <c r="AK9" s="144" t="s">
        <v>55</v>
      </c>
      <c r="AL9" s="146" t="s">
        <v>56</v>
      </c>
      <c r="AM9" s="58" t="s">
        <v>71</v>
      </c>
      <c r="AN9" s="59">
        <v>45539</v>
      </c>
      <c r="AO9" s="172" t="s">
        <v>63</v>
      </c>
    </row>
    <row r="10" spans="2:41" ht="16.5" thickBot="1">
      <c r="B10" s="165"/>
      <c r="C10" s="19" t="s">
        <v>23</v>
      </c>
      <c r="D10" s="49">
        <v>17826</v>
      </c>
      <c r="E10" s="7" t="s">
        <v>7</v>
      </c>
      <c r="F10" s="8" t="s">
        <v>7</v>
      </c>
      <c r="G10" s="8" t="s">
        <v>7</v>
      </c>
      <c r="H10" s="8" t="s">
        <v>7</v>
      </c>
      <c r="I10" s="9" t="s">
        <v>8</v>
      </c>
      <c r="J10" s="9" t="s">
        <v>8</v>
      </c>
      <c r="K10" s="9" t="s">
        <v>9</v>
      </c>
      <c r="L10" s="9" t="s">
        <v>9</v>
      </c>
      <c r="M10" s="8" t="s">
        <v>7</v>
      </c>
      <c r="N10" s="8" t="s">
        <v>7</v>
      </c>
      <c r="O10" s="8" t="s">
        <v>7</v>
      </c>
      <c r="P10" s="8" t="s">
        <v>7</v>
      </c>
      <c r="Q10" s="9" t="s">
        <v>8</v>
      </c>
      <c r="R10" s="9" t="s">
        <v>8</v>
      </c>
      <c r="S10" s="9" t="s">
        <v>9</v>
      </c>
      <c r="T10" s="9" t="s">
        <v>9</v>
      </c>
      <c r="U10" s="8" t="s">
        <v>7</v>
      </c>
      <c r="V10" s="8" t="s">
        <v>7</v>
      </c>
      <c r="W10" s="8" t="s">
        <v>7</v>
      </c>
      <c r="X10" s="8" t="s">
        <v>7</v>
      </c>
      <c r="Y10" s="9" t="s">
        <v>8</v>
      </c>
      <c r="Z10" s="9" t="s">
        <v>8</v>
      </c>
      <c r="AA10" s="9" t="s">
        <v>9</v>
      </c>
      <c r="AB10" s="9" t="s">
        <v>9</v>
      </c>
      <c r="AC10" s="8" t="s">
        <v>7</v>
      </c>
      <c r="AD10" s="8" t="s">
        <v>7</v>
      </c>
      <c r="AE10" s="8" t="s">
        <v>7</v>
      </c>
      <c r="AF10" s="8" t="s">
        <v>7</v>
      </c>
      <c r="AG10" s="9" t="s">
        <v>8</v>
      </c>
      <c r="AH10" s="71" t="s">
        <v>8</v>
      </c>
      <c r="AK10" s="145"/>
      <c r="AL10" s="147"/>
      <c r="AM10" s="67" t="s">
        <v>72</v>
      </c>
      <c r="AN10" s="61">
        <v>45553</v>
      </c>
      <c r="AO10" s="173"/>
    </row>
    <row r="11" spans="2:41" ht="15.75">
      <c r="B11" s="163" t="s">
        <v>24</v>
      </c>
      <c r="C11" s="20" t="s">
        <v>25</v>
      </c>
      <c r="D11" s="57">
        <v>19612</v>
      </c>
      <c r="E11" s="1" t="s">
        <v>7</v>
      </c>
      <c r="F11" s="2" t="s">
        <v>7</v>
      </c>
      <c r="G11" s="3" t="s">
        <v>8</v>
      </c>
      <c r="H11" s="97" t="s">
        <v>8</v>
      </c>
      <c r="I11" s="3" t="s">
        <v>9</v>
      </c>
      <c r="J11" s="3" t="s">
        <v>9</v>
      </c>
      <c r="K11" s="2" t="s">
        <v>7</v>
      </c>
      <c r="L11" s="2" t="s">
        <v>7</v>
      </c>
      <c r="M11" s="2" t="s">
        <v>7</v>
      </c>
      <c r="N11" s="2" t="s">
        <v>7</v>
      </c>
      <c r="O11" s="3" t="s">
        <v>8</v>
      </c>
      <c r="P11" s="3" t="s">
        <v>8</v>
      </c>
      <c r="Q11" s="3" t="s">
        <v>9</v>
      </c>
      <c r="R11" s="3" t="s">
        <v>9</v>
      </c>
      <c r="S11" s="2" t="s">
        <v>7</v>
      </c>
      <c r="T11" s="2" t="s">
        <v>7</v>
      </c>
      <c r="U11" s="2" t="s">
        <v>7</v>
      </c>
      <c r="V11" s="2" t="s">
        <v>7</v>
      </c>
      <c r="W11" s="3" t="s">
        <v>8</v>
      </c>
      <c r="X11" s="3" t="s">
        <v>8</v>
      </c>
      <c r="Y11" s="3" t="s">
        <v>9</v>
      </c>
      <c r="Z11" s="3" t="s">
        <v>9</v>
      </c>
      <c r="AA11" s="2" t="s">
        <v>7</v>
      </c>
      <c r="AB11" s="2" t="s">
        <v>7</v>
      </c>
      <c r="AC11" s="2" t="s">
        <v>7</v>
      </c>
      <c r="AD11" s="2" t="s">
        <v>7</v>
      </c>
      <c r="AE11" s="3" t="s">
        <v>8</v>
      </c>
      <c r="AF11" s="3" t="s">
        <v>8</v>
      </c>
      <c r="AG11" s="3" t="s">
        <v>9</v>
      </c>
      <c r="AH11" s="41" t="s">
        <v>9</v>
      </c>
      <c r="AK11" s="145"/>
      <c r="AL11" s="147"/>
      <c r="AM11" s="67"/>
      <c r="AN11" s="61"/>
      <c r="AO11" s="173"/>
    </row>
    <row r="12" spans="2:41" ht="15.75" customHeight="1">
      <c r="B12" s="164"/>
      <c r="C12" s="21" t="s">
        <v>26</v>
      </c>
      <c r="D12" s="49">
        <v>18615</v>
      </c>
      <c r="E12" s="4" t="s">
        <v>7</v>
      </c>
      <c r="F12" s="5" t="s">
        <v>7</v>
      </c>
      <c r="G12" s="6" t="s">
        <v>8</v>
      </c>
      <c r="H12" s="89" t="s">
        <v>8</v>
      </c>
      <c r="I12" s="6" t="s">
        <v>9</v>
      </c>
      <c r="J12" s="6" t="s">
        <v>9</v>
      </c>
      <c r="K12" s="5" t="s">
        <v>7</v>
      </c>
      <c r="L12" s="5" t="s">
        <v>7</v>
      </c>
      <c r="M12" s="5" t="s">
        <v>7</v>
      </c>
      <c r="N12" s="5" t="s">
        <v>7</v>
      </c>
      <c r="O12" s="6" t="s">
        <v>8</v>
      </c>
      <c r="P12" s="6" t="s">
        <v>8</v>
      </c>
      <c r="Q12" s="6" t="s">
        <v>9</v>
      </c>
      <c r="R12" s="6" t="s">
        <v>9</v>
      </c>
      <c r="S12" s="5" t="s">
        <v>7</v>
      </c>
      <c r="T12" s="5" t="s">
        <v>7</v>
      </c>
      <c r="U12" s="5" t="s">
        <v>7</v>
      </c>
      <c r="V12" s="5" t="s">
        <v>7</v>
      </c>
      <c r="W12" s="6" t="s">
        <v>8</v>
      </c>
      <c r="X12" s="6" t="s">
        <v>8</v>
      </c>
      <c r="Y12" s="6" t="s">
        <v>9</v>
      </c>
      <c r="Z12" s="6" t="s">
        <v>9</v>
      </c>
      <c r="AA12" s="5" t="s">
        <v>7</v>
      </c>
      <c r="AB12" s="5" t="s">
        <v>7</v>
      </c>
      <c r="AC12" s="5" t="s">
        <v>7</v>
      </c>
      <c r="AD12" s="5" t="s">
        <v>7</v>
      </c>
      <c r="AE12" s="6" t="s">
        <v>8</v>
      </c>
      <c r="AF12" s="6" t="s">
        <v>8</v>
      </c>
      <c r="AG12" s="6" t="s">
        <v>9</v>
      </c>
      <c r="AH12" s="42" t="s">
        <v>9</v>
      </c>
      <c r="AK12" s="145"/>
      <c r="AL12" s="147"/>
      <c r="AM12" s="67"/>
      <c r="AN12" s="61"/>
      <c r="AO12" s="173"/>
    </row>
    <row r="13" spans="2:41" ht="16.5" customHeight="1" thickBot="1">
      <c r="B13" s="164"/>
      <c r="C13" s="22" t="s">
        <v>27</v>
      </c>
      <c r="D13" s="49">
        <v>21295</v>
      </c>
      <c r="E13" s="7" t="s">
        <v>7</v>
      </c>
      <c r="F13" s="8" t="s">
        <v>7</v>
      </c>
      <c r="G13" s="9" t="s">
        <v>8</v>
      </c>
      <c r="H13" s="9" t="s">
        <v>8</v>
      </c>
      <c r="I13" s="9" t="s">
        <v>9</v>
      </c>
      <c r="J13" s="9" t="s">
        <v>9</v>
      </c>
      <c r="K13" s="8" t="s">
        <v>7</v>
      </c>
      <c r="L13" s="8" t="s">
        <v>7</v>
      </c>
      <c r="M13" s="8" t="s">
        <v>7</v>
      </c>
      <c r="N13" s="8" t="s">
        <v>7</v>
      </c>
      <c r="O13" s="9" t="s">
        <v>8</v>
      </c>
      <c r="P13" s="9" t="s">
        <v>8</v>
      </c>
      <c r="Q13" s="9" t="s">
        <v>9</v>
      </c>
      <c r="R13" s="9" t="s">
        <v>9</v>
      </c>
      <c r="S13" s="8" t="s">
        <v>7</v>
      </c>
      <c r="T13" s="8" t="s">
        <v>7</v>
      </c>
      <c r="U13" s="8" t="s">
        <v>7</v>
      </c>
      <c r="V13" s="8" t="s">
        <v>7</v>
      </c>
      <c r="W13" s="9" t="s">
        <v>8</v>
      </c>
      <c r="X13" s="9" t="s">
        <v>8</v>
      </c>
      <c r="Y13" s="9" t="s">
        <v>9</v>
      </c>
      <c r="Z13" s="9" t="s">
        <v>9</v>
      </c>
      <c r="AA13" s="8" t="s">
        <v>7</v>
      </c>
      <c r="AB13" s="8" t="s">
        <v>7</v>
      </c>
      <c r="AC13" s="8" t="s">
        <v>7</v>
      </c>
      <c r="AD13" s="8" t="s">
        <v>7</v>
      </c>
      <c r="AE13" s="9" t="s">
        <v>8</v>
      </c>
      <c r="AF13" s="9" t="s">
        <v>8</v>
      </c>
      <c r="AG13" s="9" t="s">
        <v>9</v>
      </c>
      <c r="AH13" s="71" t="s">
        <v>9</v>
      </c>
      <c r="AK13" s="145"/>
      <c r="AL13" s="148"/>
      <c r="AM13" s="80"/>
      <c r="AN13" s="81"/>
      <c r="AO13" s="173"/>
    </row>
    <row r="14" spans="2:41" ht="15.75">
      <c r="B14" s="163" t="s">
        <v>8</v>
      </c>
      <c r="C14" s="23" t="s">
        <v>28</v>
      </c>
      <c r="D14" s="57">
        <v>19573</v>
      </c>
      <c r="E14" s="10" t="s">
        <v>8</v>
      </c>
      <c r="F14" s="3" t="s">
        <v>8</v>
      </c>
      <c r="G14" s="3" t="s">
        <v>9</v>
      </c>
      <c r="H14" s="3" t="s">
        <v>9</v>
      </c>
      <c r="I14" s="2" t="s">
        <v>7</v>
      </c>
      <c r="J14" s="2" t="s">
        <v>7</v>
      </c>
      <c r="K14" s="2" t="s">
        <v>7</v>
      </c>
      <c r="L14" s="2" t="s">
        <v>7</v>
      </c>
      <c r="M14" s="3" t="s">
        <v>8</v>
      </c>
      <c r="N14" s="3" t="s">
        <v>8</v>
      </c>
      <c r="O14" s="3" t="s">
        <v>9</v>
      </c>
      <c r="P14" s="3" t="s">
        <v>9</v>
      </c>
      <c r="Q14" s="2" t="s">
        <v>7</v>
      </c>
      <c r="R14" s="2" t="s">
        <v>7</v>
      </c>
      <c r="S14" s="2" t="s">
        <v>7</v>
      </c>
      <c r="T14" s="2" t="s">
        <v>7</v>
      </c>
      <c r="U14" s="3" t="s">
        <v>8</v>
      </c>
      <c r="V14" s="89" t="s">
        <v>8</v>
      </c>
      <c r="W14" s="3" t="s">
        <v>9</v>
      </c>
      <c r="X14" s="3" t="s">
        <v>9</v>
      </c>
      <c r="Y14" s="2" t="s">
        <v>7</v>
      </c>
      <c r="Z14" s="2" t="s">
        <v>7</v>
      </c>
      <c r="AA14" s="2" t="s">
        <v>7</v>
      </c>
      <c r="AB14" s="2" t="s">
        <v>7</v>
      </c>
      <c r="AC14" s="3" t="s">
        <v>8</v>
      </c>
      <c r="AD14" s="3" t="s">
        <v>8</v>
      </c>
      <c r="AE14" s="3" t="s">
        <v>9</v>
      </c>
      <c r="AF14" s="3" t="s">
        <v>9</v>
      </c>
      <c r="AG14" s="2" t="s">
        <v>7</v>
      </c>
      <c r="AH14" s="72" t="s">
        <v>7</v>
      </c>
      <c r="AK14" s="149" t="s">
        <v>57</v>
      </c>
      <c r="AL14" s="152" t="s">
        <v>58</v>
      </c>
      <c r="AM14" s="58" t="s">
        <v>69</v>
      </c>
      <c r="AN14" s="59">
        <v>45538</v>
      </c>
      <c r="AO14" s="155" t="s">
        <v>59</v>
      </c>
    </row>
    <row r="15" spans="2:41" ht="15.75">
      <c r="B15" s="164"/>
      <c r="C15" s="24" t="s">
        <v>29</v>
      </c>
      <c r="D15" s="56">
        <v>18383</v>
      </c>
      <c r="E15" s="11" t="s">
        <v>8</v>
      </c>
      <c r="F15" s="6" t="s">
        <v>8</v>
      </c>
      <c r="G15" s="6" t="s">
        <v>9</v>
      </c>
      <c r="H15" s="6" t="s">
        <v>9</v>
      </c>
      <c r="I15" s="5" t="s">
        <v>7</v>
      </c>
      <c r="J15" s="5" t="s">
        <v>7</v>
      </c>
      <c r="K15" s="5" t="s">
        <v>7</v>
      </c>
      <c r="L15" s="5" t="s">
        <v>7</v>
      </c>
      <c r="M15" s="6" t="s">
        <v>8</v>
      </c>
      <c r="N15" s="6" t="s">
        <v>8</v>
      </c>
      <c r="O15" s="6" t="s">
        <v>9</v>
      </c>
      <c r="P15" s="6" t="s">
        <v>9</v>
      </c>
      <c r="Q15" s="5" t="s">
        <v>7</v>
      </c>
      <c r="R15" s="5" t="s">
        <v>7</v>
      </c>
      <c r="S15" s="5" t="s">
        <v>7</v>
      </c>
      <c r="T15" s="5" t="s">
        <v>7</v>
      </c>
      <c r="U15" s="6" t="s">
        <v>8</v>
      </c>
      <c r="V15" s="6" t="s">
        <v>8</v>
      </c>
      <c r="W15" s="6" t="s">
        <v>9</v>
      </c>
      <c r="X15" s="6" t="s">
        <v>9</v>
      </c>
      <c r="Y15" s="5" t="s">
        <v>7</v>
      </c>
      <c r="Z15" s="5" t="s">
        <v>7</v>
      </c>
      <c r="AA15" s="5" t="s">
        <v>7</v>
      </c>
      <c r="AB15" s="5" t="s">
        <v>7</v>
      </c>
      <c r="AC15" s="6" t="s">
        <v>8</v>
      </c>
      <c r="AD15" s="6" t="s">
        <v>8</v>
      </c>
      <c r="AE15" s="6" t="s">
        <v>9</v>
      </c>
      <c r="AF15" s="6" t="s">
        <v>9</v>
      </c>
      <c r="AG15" s="5" t="s">
        <v>7</v>
      </c>
      <c r="AH15" s="73" t="s">
        <v>7</v>
      </c>
      <c r="AK15" s="150"/>
      <c r="AL15" s="153"/>
      <c r="AM15" s="60" t="s">
        <v>66</v>
      </c>
      <c r="AN15" s="61">
        <v>45543</v>
      </c>
      <c r="AO15" s="156"/>
    </row>
    <row r="16" spans="2:41" ht="16.5" thickBot="1">
      <c r="B16" s="165"/>
      <c r="C16" s="25" t="s">
        <v>30</v>
      </c>
      <c r="D16" s="55">
        <v>24132</v>
      </c>
      <c r="E16" s="14" t="s">
        <v>8</v>
      </c>
      <c r="F16" s="9" t="s">
        <v>8</v>
      </c>
      <c r="G16" s="9" t="s">
        <v>9</v>
      </c>
      <c r="H16" s="9" t="s">
        <v>9</v>
      </c>
      <c r="I16" s="8" t="s">
        <v>7</v>
      </c>
      <c r="J16" s="8" t="s">
        <v>7</v>
      </c>
      <c r="K16" s="8" t="s">
        <v>7</v>
      </c>
      <c r="L16" s="8" t="s">
        <v>7</v>
      </c>
      <c r="M16" s="9" t="s">
        <v>8</v>
      </c>
      <c r="N16" s="9" t="s">
        <v>8</v>
      </c>
      <c r="O16" s="9" t="s">
        <v>9</v>
      </c>
      <c r="P16" s="9" t="s">
        <v>9</v>
      </c>
      <c r="Q16" s="8" t="s">
        <v>7</v>
      </c>
      <c r="R16" s="8" t="s">
        <v>7</v>
      </c>
      <c r="S16" s="8" t="s">
        <v>7</v>
      </c>
      <c r="T16" s="8" t="s">
        <v>7</v>
      </c>
      <c r="U16" s="9" t="s">
        <v>8</v>
      </c>
      <c r="V16" s="9" t="s">
        <v>8</v>
      </c>
      <c r="W16" s="9" t="s">
        <v>9</v>
      </c>
      <c r="X16" s="9" t="s">
        <v>9</v>
      </c>
      <c r="Y16" s="8" t="s">
        <v>7</v>
      </c>
      <c r="Z16" s="8" t="s">
        <v>7</v>
      </c>
      <c r="AA16" s="8" t="s">
        <v>7</v>
      </c>
      <c r="AB16" s="8" t="s">
        <v>7</v>
      </c>
      <c r="AC16" s="9" t="s">
        <v>8</v>
      </c>
      <c r="AD16" s="9" t="s">
        <v>8</v>
      </c>
      <c r="AE16" s="9" t="s">
        <v>9</v>
      </c>
      <c r="AF16" s="9" t="s">
        <v>9</v>
      </c>
      <c r="AG16" s="8" t="s">
        <v>7</v>
      </c>
      <c r="AH16" s="74" t="s">
        <v>7</v>
      </c>
      <c r="AK16" s="150"/>
      <c r="AL16" s="153"/>
      <c r="AM16" s="60" t="s">
        <v>67</v>
      </c>
      <c r="AN16" s="61">
        <v>45545</v>
      </c>
      <c r="AO16" s="156"/>
    </row>
    <row r="17" spans="2:41" ht="16.5" thickBot="1">
      <c r="B17" s="31" t="s">
        <v>31</v>
      </c>
      <c r="C17" s="26" t="s">
        <v>32</v>
      </c>
      <c r="D17" s="54">
        <v>17997</v>
      </c>
      <c r="E17" s="88" t="s">
        <v>7</v>
      </c>
      <c r="F17" s="75" t="s">
        <v>7</v>
      </c>
      <c r="G17" s="75" t="s">
        <v>7</v>
      </c>
      <c r="H17" s="75" t="s">
        <v>7</v>
      </c>
      <c r="I17" s="76" t="s">
        <v>8</v>
      </c>
      <c r="J17" s="76" t="s">
        <v>8</v>
      </c>
      <c r="K17" s="76" t="s">
        <v>9</v>
      </c>
      <c r="L17" s="76" t="s">
        <v>9</v>
      </c>
      <c r="M17" s="75" t="s">
        <v>7</v>
      </c>
      <c r="N17" s="75" t="s">
        <v>7</v>
      </c>
      <c r="O17" s="75" t="s">
        <v>7</v>
      </c>
      <c r="P17" s="75" t="s">
        <v>7</v>
      </c>
      <c r="Q17" s="76" t="s">
        <v>8</v>
      </c>
      <c r="R17" s="76" t="s">
        <v>8</v>
      </c>
      <c r="S17" s="76" t="s">
        <v>9</v>
      </c>
      <c r="T17" s="76" t="s">
        <v>9</v>
      </c>
      <c r="U17" s="75" t="s">
        <v>7</v>
      </c>
      <c r="V17" s="75" t="s">
        <v>7</v>
      </c>
      <c r="W17" s="75" t="s">
        <v>7</v>
      </c>
      <c r="X17" s="75" t="s">
        <v>7</v>
      </c>
      <c r="Y17" s="76" t="s">
        <v>8</v>
      </c>
      <c r="Z17" s="76" t="s">
        <v>8</v>
      </c>
      <c r="AA17" s="76" t="s">
        <v>9</v>
      </c>
      <c r="AB17" s="76" t="s">
        <v>9</v>
      </c>
      <c r="AC17" s="75" t="s">
        <v>7</v>
      </c>
      <c r="AD17" s="75" t="s">
        <v>7</v>
      </c>
      <c r="AE17" s="75" t="s">
        <v>7</v>
      </c>
      <c r="AF17" s="75" t="s">
        <v>7</v>
      </c>
      <c r="AG17" s="76" t="s">
        <v>8</v>
      </c>
      <c r="AH17" s="77" t="s">
        <v>8</v>
      </c>
      <c r="AK17" s="150"/>
      <c r="AL17" s="153"/>
      <c r="AM17" s="60" t="s">
        <v>70</v>
      </c>
      <c r="AN17" s="61">
        <v>45550</v>
      </c>
      <c r="AO17" s="156"/>
    </row>
    <row r="18" spans="2:41">
      <c r="D18" s="46" t="s">
        <v>8</v>
      </c>
      <c r="E18" s="45">
        <f>COUNTIF(E6:E17,"D")+COUNTIF(E6:E17,"R/D")</f>
        <v>3</v>
      </c>
      <c r="F18" s="45">
        <f t="shared" ref="F18:AH18" si="0">COUNTIF(F6:F17,"D")+COUNTIF(F6:F17,"R/D")</f>
        <v>3</v>
      </c>
      <c r="G18" s="45">
        <f t="shared" si="0"/>
        <v>3</v>
      </c>
      <c r="H18" s="45">
        <f t="shared" si="0"/>
        <v>3</v>
      </c>
      <c r="I18" s="45">
        <f t="shared" si="0"/>
        <v>3</v>
      </c>
      <c r="J18" s="45">
        <f t="shared" si="0"/>
        <v>3</v>
      </c>
      <c r="K18" s="45">
        <f t="shared" si="0"/>
        <v>3</v>
      </c>
      <c r="L18" s="45">
        <f>COUNTIF(L6:L17,"D")+COUNTIF(L6:L17,"R/D")</f>
        <v>3</v>
      </c>
      <c r="M18" s="45">
        <f t="shared" si="0"/>
        <v>3</v>
      </c>
      <c r="N18" s="45">
        <f t="shared" si="0"/>
        <v>3</v>
      </c>
      <c r="O18" s="45">
        <f t="shared" si="0"/>
        <v>3</v>
      </c>
      <c r="P18" s="45">
        <f t="shared" si="0"/>
        <v>3</v>
      </c>
      <c r="Q18" s="45">
        <f t="shared" si="0"/>
        <v>3</v>
      </c>
      <c r="R18" s="45">
        <f>COUNTIF(R6:R17,"D")+COUNTIF(R6:R17,"R/D")</f>
        <v>3</v>
      </c>
      <c r="S18" s="45">
        <f t="shared" si="0"/>
        <v>3</v>
      </c>
      <c r="T18" s="45">
        <f t="shared" si="0"/>
        <v>3</v>
      </c>
      <c r="U18" s="45">
        <f t="shared" si="0"/>
        <v>3</v>
      </c>
      <c r="V18" s="45">
        <f t="shared" si="0"/>
        <v>3</v>
      </c>
      <c r="W18" s="45">
        <f t="shared" si="0"/>
        <v>3</v>
      </c>
      <c r="X18" s="45">
        <f t="shared" si="0"/>
        <v>3</v>
      </c>
      <c r="Y18" s="45">
        <f t="shared" si="0"/>
        <v>3</v>
      </c>
      <c r="Z18" s="45">
        <f t="shared" si="0"/>
        <v>3</v>
      </c>
      <c r="AA18" s="45">
        <f t="shared" si="0"/>
        <v>3</v>
      </c>
      <c r="AB18" s="45">
        <f t="shared" si="0"/>
        <v>3</v>
      </c>
      <c r="AC18" s="45">
        <f t="shared" si="0"/>
        <v>3</v>
      </c>
      <c r="AD18" s="45">
        <f t="shared" si="0"/>
        <v>3</v>
      </c>
      <c r="AE18" s="45">
        <f t="shared" si="0"/>
        <v>3</v>
      </c>
      <c r="AF18" s="45">
        <f t="shared" si="0"/>
        <v>3</v>
      </c>
      <c r="AG18" s="45">
        <f t="shared" si="0"/>
        <v>3</v>
      </c>
      <c r="AH18" s="45">
        <f t="shared" si="0"/>
        <v>3</v>
      </c>
      <c r="AK18" s="150"/>
      <c r="AL18" s="153"/>
      <c r="AM18" s="60" t="s">
        <v>68</v>
      </c>
      <c r="AN18" s="61">
        <v>45552</v>
      </c>
      <c r="AO18" s="156"/>
    </row>
    <row r="19" spans="2:41" ht="15.75" thickBot="1">
      <c r="D19" s="47" t="s">
        <v>9</v>
      </c>
      <c r="E19" s="44">
        <f>COUNTIF(E6:E17,"N")+COUNTIF(E6:E17,"R/N")</f>
        <v>3</v>
      </c>
      <c r="F19" s="44">
        <f t="shared" ref="F19:AH19" si="1">COUNTIF(F6:F17,"N")+COUNTIF(F6:F17,"R/N")</f>
        <v>3</v>
      </c>
      <c r="G19" s="44">
        <f t="shared" si="1"/>
        <v>3</v>
      </c>
      <c r="H19" s="44">
        <f t="shared" si="1"/>
        <v>3</v>
      </c>
      <c r="I19" s="44">
        <f t="shared" si="1"/>
        <v>3</v>
      </c>
      <c r="J19" s="44">
        <f t="shared" si="1"/>
        <v>3</v>
      </c>
      <c r="K19" s="44">
        <f t="shared" si="1"/>
        <v>3</v>
      </c>
      <c r="L19" s="44">
        <f t="shared" si="1"/>
        <v>3</v>
      </c>
      <c r="M19" s="44">
        <f t="shared" si="1"/>
        <v>3</v>
      </c>
      <c r="N19" s="44">
        <f t="shared" si="1"/>
        <v>3</v>
      </c>
      <c r="O19" s="44">
        <f t="shared" si="1"/>
        <v>3</v>
      </c>
      <c r="P19" s="44">
        <f t="shared" si="1"/>
        <v>3</v>
      </c>
      <c r="Q19" s="44">
        <f t="shared" si="1"/>
        <v>3</v>
      </c>
      <c r="R19" s="44">
        <f t="shared" si="1"/>
        <v>3</v>
      </c>
      <c r="S19" s="44">
        <f t="shared" si="1"/>
        <v>3</v>
      </c>
      <c r="T19" s="44">
        <f t="shared" si="1"/>
        <v>3</v>
      </c>
      <c r="U19" s="44">
        <f t="shared" si="1"/>
        <v>3</v>
      </c>
      <c r="V19" s="44">
        <f t="shared" si="1"/>
        <v>3</v>
      </c>
      <c r="W19" s="44">
        <f t="shared" si="1"/>
        <v>3</v>
      </c>
      <c r="X19" s="44">
        <f t="shared" si="1"/>
        <v>3</v>
      </c>
      <c r="Y19" s="44">
        <f t="shared" si="1"/>
        <v>3</v>
      </c>
      <c r="Z19" s="44">
        <f t="shared" si="1"/>
        <v>3</v>
      </c>
      <c r="AA19" s="44">
        <f t="shared" si="1"/>
        <v>3</v>
      </c>
      <c r="AB19" s="44">
        <f t="shared" si="1"/>
        <v>3</v>
      </c>
      <c r="AC19" s="44">
        <f t="shared" si="1"/>
        <v>3</v>
      </c>
      <c r="AD19" s="44">
        <f t="shared" si="1"/>
        <v>3</v>
      </c>
      <c r="AE19" s="44">
        <f t="shared" si="1"/>
        <v>3</v>
      </c>
      <c r="AF19" s="44">
        <f t="shared" si="1"/>
        <v>3</v>
      </c>
      <c r="AG19" s="44">
        <f t="shared" si="1"/>
        <v>3</v>
      </c>
      <c r="AH19" s="44">
        <f t="shared" si="1"/>
        <v>3</v>
      </c>
      <c r="AK19" s="151"/>
      <c r="AL19" s="154"/>
      <c r="AM19" s="62"/>
      <c r="AN19" s="63"/>
      <c r="AO19" s="157"/>
    </row>
    <row r="20" spans="2:41">
      <c r="D20" s="48" t="s">
        <v>7</v>
      </c>
      <c r="E20" s="44">
        <f>COUNTIF(E6:E17,"R")</f>
        <v>6</v>
      </c>
      <c r="F20" s="44">
        <f t="shared" ref="F20:AH20" si="2">COUNTIF(F6:F17,"R")</f>
        <v>6</v>
      </c>
      <c r="G20" s="44">
        <f t="shared" si="2"/>
        <v>6</v>
      </c>
      <c r="H20" s="44">
        <f t="shared" si="2"/>
        <v>6</v>
      </c>
      <c r="I20" s="44">
        <f t="shared" si="2"/>
        <v>6</v>
      </c>
      <c r="J20" s="44">
        <f t="shared" si="2"/>
        <v>6</v>
      </c>
      <c r="K20" s="44">
        <f t="shared" si="2"/>
        <v>6</v>
      </c>
      <c r="L20" s="44">
        <f t="shared" si="2"/>
        <v>6</v>
      </c>
      <c r="M20" s="44">
        <f t="shared" si="2"/>
        <v>6</v>
      </c>
      <c r="N20" s="44">
        <f t="shared" si="2"/>
        <v>6</v>
      </c>
      <c r="O20" s="44">
        <f t="shared" si="2"/>
        <v>6</v>
      </c>
      <c r="P20" s="44">
        <f t="shared" si="2"/>
        <v>6</v>
      </c>
      <c r="Q20" s="44">
        <f t="shared" si="2"/>
        <v>6</v>
      </c>
      <c r="R20" s="44">
        <f t="shared" si="2"/>
        <v>6</v>
      </c>
      <c r="S20" s="44">
        <f t="shared" si="2"/>
        <v>6</v>
      </c>
      <c r="T20" s="44">
        <f t="shared" si="2"/>
        <v>6</v>
      </c>
      <c r="U20" s="44">
        <f t="shared" si="2"/>
        <v>6</v>
      </c>
      <c r="V20" s="44">
        <f t="shared" si="2"/>
        <v>6</v>
      </c>
      <c r="W20" s="44">
        <f t="shared" si="2"/>
        <v>6</v>
      </c>
      <c r="X20" s="44">
        <f t="shared" si="2"/>
        <v>6</v>
      </c>
      <c r="Y20" s="44">
        <f t="shared" si="2"/>
        <v>6</v>
      </c>
      <c r="Z20" s="44">
        <f t="shared" si="2"/>
        <v>6</v>
      </c>
      <c r="AA20" s="44">
        <f t="shared" si="2"/>
        <v>6</v>
      </c>
      <c r="AB20" s="44">
        <f t="shared" si="2"/>
        <v>6</v>
      </c>
      <c r="AC20" s="44">
        <f t="shared" si="2"/>
        <v>6</v>
      </c>
      <c r="AD20" s="44">
        <f t="shared" si="2"/>
        <v>6</v>
      </c>
      <c r="AE20" s="44">
        <f t="shared" si="2"/>
        <v>6</v>
      </c>
      <c r="AF20" s="44">
        <f t="shared" si="2"/>
        <v>6</v>
      </c>
      <c r="AG20" s="44">
        <f t="shared" si="2"/>
        <v>6</v>
      </c>
      <c r="AH20" s="44">
        <f t="shared" si="2"/>
        <v>6</v>
      </c>
      <c r="AK20" s="145" t="s">
        <v>60</v>
      </c>
      <c r="AL20" s="170" t="s">
        <v>58</v>
      </c>
      <c r="AM20" s="66"/>
      <c r="AN20" s="69"/>
      <c r="AO20" s="175"/>
    </row>
    <row r="21" spans="2:41" ht="15.75" thickBot="1">
      <c r="AK21" s="169"/>
      <c r="AL21" s="171"/>
      <c r="AM21" s="62"/>
      <c r="AN21" s="63"/>
      <c r="AO21" s="176"/>
    </row>
    <row r="22" spans="2:41" ht="19.5" thickBot="1">
      <c r="B22" s="158" t="s">
        <v>12</v>
      </c>
      <c r="C22" s="159"/>
      <c r="D22" s="159"/>
      <c r="E22" s="166" t="s">
        <v>65</v>
      </c>
      <c r="F22" s="167"/>
      <c r="G22" s="167"/>
      <c r="H22" s="167"/>
      <c r="I22" s="167"/>
      <c r="J22" s="167"/>
      <c r="K22" s="167"/>
      <c r="L22" s="167"/>
      <c r="M22" s="167"/>
      <c r="N22" s="167"/>
      <c r="O22" s="167"/>
      <c r="P22" s="167"/>
      <c r="Q22" s="167"/>
      <c r="R22" s="167"/>
      <c r="S22" s="167"/>
      <c r="T22" s="167"/>
      <c r="U22" s="167"/>
      <c r="V22" s="167"/>
      <c r="W22" s="167"/>
      <c r="X22" s="167"/>
      <c r="Y22" s="167"/>
      <c r="Z22" s="167"/>
      <c r="AA22" s="167"/>
      <c r="AB22" s="167"/>
      <c r="AC22" s="167"/>
      <c r="AD22" s="167"/>
      <c r="AE22" s="167"/>
      <c r="AF22" s="167"/>
      <c r="AG22" s="167"/>
      <c r="AH22" s="168"/>
    </row>
    <row r="23" spans="2:41" ht="15.75" thickBot="1">
      <c r="B23" s="161" t="s">
        <v>13</v>
      </c>
      <c r="C23" s="162"/>
      <c r="D23" s="162"/>
      <c r="E23" s="38" t="s">
        <v>5</v>
      </c>
      <c r="F23" s="39" t="s">
        <v>6</v>
      </c>
      <c r="G23" s="39" t="s">
        <v>0</v>
      </c>
      <c r="H23" s="39" t="s">
        <v>1</v>
      </c>
      <c r="I23" s="39" t="s">
        <v>2</v>
      </c>
      <c r="J23" s="39" t="s">
        <v>3</v>
      </c>
      <c r="K23" s="39" t="s">
        <v>4</v>
      </c>
      <c r="L23" s="39" t="s">
        <v>5</v>
      </c>
      <c r="M23" s="39" t="s">
        <v>6</v>
      </c>
      <c r="N23" s="39" t="s">
        <v>0</v>
      </c>
      <c r="O23" s="39" t="s">
        <v>1</v>
      </c>
      <c r="P23" s="39" t="s">
        <v>2</v>
      </c>
      <c r="Q23" s="39" t="s">
        <v>3</v>
      </c>
      <c r="R23" s="39" t="s">
        <v>4</v>
      </c>
      <c r="S23" s="39" t="s">
        <v>5</v>
      </c>
      <c r="T23" s="39" t="s">
        <v>6</v>
      </c>
      <c r="U23" s="39" t="s">
        <v>0</v>
      </c>
      <c r="V23" s="39" t="s">
        <v>1</v>
      </c>
      <c r="W23" s="39" t="s">
        <v>2</v>
      </c>
      <c r="X23" s="39" t="s">
        <v>3</v>
      </c>
      <c r="Y23" s="39" t="s">
        <v>4</v>
      </c>
      <c r="Z23" s="39" t="s">
        <v>5</v>
      </c>
      <c r="AA23" s="39" t="s">
        <v>6</v>
      </c>
      <c r="AB23" s="39" t="s">
        <v>0</v>
      </c>
      <c r="AC23" s="39" t="s">
        <v>1</v>
      </c>
      <c r="AD23" s="39" t="s">
        <v>2</v>
      </c>
      <c r="AE23" s="39" t="s">
        <v>3</v>
      </c>
      <c r="AF23" s="39" t="s">
        <v>4</v>
      </c>
      <c r="AG23" s="39" t="s">
        <v>5</v>
      </c>
      <c r="AH23" s="40" t="s">
        <v>6</v>
      </c>
    </row>
    <row r="24" spans="2:41" ht="15.75" thickBot="1">
      <c r="B24" s="51" t="s">
        <v>14</v>
      </c>
      <c r="C24" s="52" t="s">
        <v>15</v>
      </c>
      <c r="D24" s="53" t="s">
        <v>16</v>
      </c>
      <c r="E24" s="84">
        <v>45474</v>
      </c>
      <c r="F24" s="85">
        <v>45475</v>
      </c>
      <c r="G24" s="85">
        <v>45476</v>
      </c>
      <c r="H24" s="85">
        <v>45477</v>
      </c>
      <c r="I24" s="85">
        <v>45478</v>
      </c>
      <c r="J24" s="85">
        <v>45479</v>
      </c>
      <c r="K24" s="85">
        <v>45480</v>
      </c>
      <c r="L24" s="85">
        <v>45481</v>
      </c>
      <c r="M24" s="85">
        <v>45482</v>
      </c>
      <c r="N24" s="85">
        <v>45483</v>
      </c>
      <c r="O24" s="85">
        <v>45484</v>
      </c>
      <c r="P24" s="85">
        <v>45485</v>
      </c>
      <c r="Q24" s="85">
        <v>45486</v>
      </c>
      <c r="R24" s="85">
        <v>45487</v>
      </c>
      <c r="S24" s="85">
        <v>45488</v>
      </c>
      <c r="T24" s="85">
        <v>45489</v>
      </c>
      <c r="U24" s="85">
        <v>45490</v>
      </c>
      <c r="V24" s="85">
        <v>45491</v>
      </c>
      <c r="W24" s="85">
        <v>45492</v>
      </c>
      <c r="X24" s="85">
        <v>45493</v>
      </c>
      <c r="Y24" s="85">
        <v>45494</v>
      </c>
      <c r="Z24" s="85">
        <v>45495</v>
      </c>
      <c r="AA24" s="85">
        <v>45496</v>
      </c>
      <c r="AB24" s="85">
        <v>45497</v>
      </c>
      <c r="AC24" s="85">
        <v>45498</v>
      </c>
      <c r="AD24" s="85">
        <v>45499</v>
      </c>
      <c r="AE24" s="85">
        <v>45500</v>
      </c>
      <c r="AF24" s="85">
        <v>45501</v>
      </c>
      <c r="AG24" s="85">
        <v>45502</v>
      </c>
      <c r="AH24" s="90">
        <v>45503</v>
      </c>
    </row>
    <row r="25" spans="2:41" ht="15.75">
      <c r="B25" s="174" t="s">
        <v>17</v>
      </c>
      <c r="C25" s="15" t="s">
        <v>35</v>
      </c>
      <c r="D25" s="50">
        <v>25751</v>
      </c>
      <c r="E25" s="10" t="s">
        <v>9</v>
      </c>
      <c r="F25" s="3" t="s">
        <v>9</v>
      </c>
      <c r="G25" s="2" t="s">
        <v>7</v>
      </c>
      <c r="H25" s="2" t="s">
        <v>7</v>
      </c>
      <c r="I25" s="2" t="s">
        <v>7</v>
      </c>
      <c r="J25" s="2" t="s">
        <v>7</v>
      </c>
      <c r="K25" s="3" t="s">
        <v>8</v>
      </c>
      <c r="L25" s="3" t="s">
        <v>8</v>
      </c>
      <c r="M25" s="3" t="s">
        <v>9</v>
      </c>
      <c r="N25" s="3" t="s">
        <v>9</v>
      </c>
      <c r="O25" s="2" t="s">
        <v>7</v>
      </c>
      <c r="P25" s="2" t="s">
        <v>7</v>
      </c>
      <c r="Q25" s="70" t="s">
        <v>34</v>
      </c>
      <c r="R25" s="2" t="s">
        <v>7</v>
      </c>
      <c r="S25" s="3" t="s">
        <v>8</v>
      </c>
      <c r="T25" s="3" t="s">
        <v>8</v>
      </c>
      <c r="U25" s="3" t="s">
        <v>9</v>
      </c>
      <c r="V25" s="3" t="s">
        <v>9</v>
      </c>
      <c r="W25" s="2" t="s">
        <v>7</v>
      </c>
      <c r="X25" s="2" t="s">
        <v>7</v>
      </c>
      <c r="Y25" s="2" t="s">
        <v>7</v>
      </c>
      <c r="Z25" s="2" t="s">
        <v>7</v>
      </c>
      <c r="AA25" s="3" t="s">
        <v>8</v>
      </c>
      <c r="AB25" s="3" t="s">
        <v>8</v>
      </c>
      <c r="AC25" s="3" t="s">
        <v>9</v>
      </c>
      <c r="AD25" s="3" t="s">
        <v>9</v>
      </c>
      <c r="AE25" s="2" t="s">
        <v>7</v>
      </c>
      <c r="AF25" s="2" t="s">
        <v>7</v>
      </c>
      <c r="AG25" s="2" t="s">
        <v>7</v>
      </c>
      <c r="AH25" s="72" t="s">
        <v>7</v>
      </c>
    </row>
    <row r="26" spans="2:41" ht="15.75">
      <c r="B26" s="164"/>
      <c r="C26" s="16" t="s">
        <v>36</v>
      </c>
      <c r="D26" s="50">
        <v>39325</v>
      </c>
      <c r="E26" s="11" t="s">
        <v>9</v>
      </c>
      <c r="F26" s="6" t="s">
        <v>9</v>
      </c>
      <c r="G26" s="5" t="s">
        <v>7</v>
      </c>
      <c r="H26" s="5" t="s">
        <v>7</v>
      </c>
      <c r="I26" s="5" t="s">
        <v>7</v>
      </c>
      <c r="J26" s="5" t="s">
        <v>7</v>
      </c>
      <c r="K26" s="6" t="s">
        <v>8</v>
      </c>
      <c r="L26" s="6" t="s">
        <v>8</v>
      </c>
      <c r="M26" s="6" t="s">
        <v>9</v>
      </c>
      <c r="N26" s="6" t="s">
        <v>9</v>
      </c>
      <c r="O26" s="5" t="s">
        <v>7</v>
      </c>
      <c r="P26" s="5" t="s">
        <v>7</v>
      </c>
      <c r="Q26" s="27" t="s">
        <v>33</v>
      </c>
      <c r="R26" s="5" t="s">
        <v>7</v>
      </c>
      <c r="S26" s="78" t="s">
        <v>8</v>
      </c>
      <c r="T26" s="6" t="s">
        <v>8</v>
      </c>
      <c r="U26" s="6" t="s">
        <v>9</v>
      </c>
      <c r="V26" s="6" t="s">
        <v>9</v>
      </c>
      <c r="W26" s="5" t="s">
        <v>7</v>
      </c>
      <c r="X26" s="5" t="s">
        <v>7</v>
      </c>
      <c r="Y26" s="5" t="s">
        <v>7</v>
      </c>
      <c r="Z26" s="5" t="s">
        <v>7</v>
      </c>
      <c r="AA26" s="6" t="s">
        <v>8</v>
      </c>
      <c r="AB26" s="6" t="s">
        <v>8</v>
      </c>
      <c r="AC26" s="6" t="s">
        <v>9</v>
      </c>
      <c r="AD26" s="6" t="s">
        <v>9</v>
      </c>
      <c r="AE26" s="5" t="s">
        <v>7</v>
      </c>
      <c r="AF26" s="5" t="s">
        <v>7</v>
      </c>
      <c r="AG26" s="5" t="s">
        <v>7</v>
      </c>
      <c r="AH26" s="73" t="s">
        <v>7</v>
      </c>
    </row>
    <row r="27" spans="2:41" ht="15.75">
      <c r="B27" s="164"/>
      <c r="C27" s="16" t="s">
        <v>37</v>
      </c>
      <c r="D27" s="50">
        <v>31787</v>
      </c>
      <c r="E27" s="11" t="s">
        <v>9</v>
      </c>
      <c r="F27" s="6" t="s">
        <v>9</v>
      </c>
      <c r="G27" s="5" t="s">
        <v>7</v>
      </c>
      <c r="H27" s="5" t="s">
        <v>7</v>
      </c>
      <c r="I27" s="5" t="s">
        <v>7</v>
      </c>
      <c r="J27" s="5" t="s">
        <v>7</v>
      </c>
      <c r="K27" s="6" t="s">
        <v>8</v>
      </c>
      <c r="L27" s="78" t="s">
        <v>8</v>
      </c>
      <c r="M27" s="6" t="s">
        <v>9</v>
      </c>
      <c r="N27" s="6" t="s">
        <v>9</v>
      </c>
      <c r="O27" s="5" t="s">
        <v>7</v>
      </c>
      <c r="P27" s="27" t="s">
        <v>34</v>
      </c>
      <c r="Q27" s="5" t="s">
        <v>7</v>
      </c>
      <c r="R27" s="27" t="s">
        <v>34</v>
      </c>
      <c r="S27" s="6" t="s">
        <v>8</v>
      </c>
      <c r="T27" s="6" t="s">
        <v>8</v>
      </c>
      <c r="U27" s="6" t="s">
        <v>9</v>
      </c>
      <c r="V27" s="6" t="s">
        <v>9</v>
      </c>
      <c r="W27" s="5" t="s">
        <v>7</v>
      </c>
      <c r="X27" s="5" t="s">
        <v>7</v>
      </c>
      <c r="Y27" s="5" t="s">
        <v>7</v>
      </c>
      <c r="Z27" s="5" t="s">
        <v>7</v>
      </c>
      <c r="AA27" s="6" t="s">
        <v>8</v>
      </c>
      <c r="AB27" s="6" t="s">
        <v>8</v>
      </c>
      <c r="AC27" s="6" t="s">
        <v>9</v>
      </c>
      <c r="AD27" s="6" t="s">
        <v>9</v>
      </c>
      <c r="AE27" s="5" t="s">
        <v>7</v>
      </c>
      <c r="AF27" s="5" t="s">
        <v>7</v>
      </c>
      <c r="AG27" s="5" t="s">
        <v>7</v>
      </c>
      <c r="AH27" s="79" t="s">
        <v>34</v>
      </c>
    </row>
    <row r="28" spans="2:41" ht="16.5" thickBot="1">
      <c r="B28" s="165"/>
      <c r="C28" s="17" t="s">
        <v>38</v>
      </c>
      <c r="D28" s="55">
        <v>40125</v>
      </c>
      <c r="E28" s="43" t="s">
        <v>10</v>
      </c>
      <c r="F28" s="32" t="s">
        <v>10</v>
      </c>
      <c r="G28" s="33" t="s">
        <v>11</v>
      </c>
      <c r="H28" s="33" t="s">
        <v>11</v>
      </c>
      <c r="I28" s="32" t="s">
        <v>10</v>
      </c>
      <c r="J28" s="32" t="s">
        <v>10</v>
      </c>
      <c r="K28" s="32" t="s">
        <v>10</v>
      </c>
      <c r="L28" s="32" t="s">
        <v>10</v>
      </c>
      <c r="M28" s="32" t="s">
        <v>10</v>
      </c>
      <c r="N28" s="33" t="s">
        <v>11</v>
      </c>
      <c r="O28" s="33" t="s">
        <v>11</v>
      </c>
      <c r="P28" s="32" t="s">
        <v>10</v>
      </c>
      <c r="Q28" s="32" t="s">
        <v>10</v>
      </c>
      <c r="R28" s="32" t="s">
        <v>10</v>
      </c>
      <c r="S28" s="9" t="s">
        <v>8</v>
      </c>
      <c r="T28" s="9" t="s">
        <v>8</v>
      </c>
      <c r="U28" s="9" t="s">
        <v>9</v>
      </c>
      <c r="V28" s="9" t="s">
        <v>9</v>
      </c>
      <c r="W28" s="8" t="s">
        <v>7</v>
      </c>
      <c r="X28" s="8" t="s">
        <v>7</v>
      </c>
      <c r="Y28" s="8" t="s">
        <v>7</v>
      </c>
      <c r="Z28" s="8" t="s">
        <v>7</v>
      </c>
      <c r="AA28" s="9" t="s">
        <v>8</v>
      </c>
      <c r="AB28" s="9" t="s">
        <v>8</v>
      </c>
      <c r="AC28" s="9" t="s">
        <v>9</v>
      </c>
      <c r="AD28" s="9" t="s">
        <v>9</v>
      </c>
      <c r="AE28" s="8" t="s">
        <v>7</v>
      </c>
      <c r="AF28" s="8" t="s">
        <v>7</v>
      </c>
      <c r="AG28" s="37" t="s">
        <v>34</v>
      </c>
      <c r="AH28" s="74" t="s">
        <v>7</v>
      </c>
    </row>
    <row r="29" spans="2:41" ht="15.75">
      <c r="B29" s="163" t="s">
        <v>21</v>
      </c>
      <c r="C29" s="19" t="s">
        <v>49</v>
      </c>
      <c r="D29" s="50">
        <v>21189</v>
      </c>
      <c r="E29" s="1" t="s">
        <v>7</v>
      </c>
      <c r="F29" s="2" t="s">
        <v>7</v>
      </c>
      <c r="G29" s="91" t="s">
        <v>73</v>
      </c>
      <c r="H29" s="2" t="s">
        <v>7</v>
      </c>
      <c r="I29" s="3" t="s">
        <v>8</v>
      </c>
      <c r="J29" s="3" t="s">
        <v>8</v>
      </c>
      <c r="K29" s="3" t="s">
        <v>9</v>
      </c>
      <c r="L29" s="3" t="s">
        <v>9</v>
      </c>
      <c r="M29" s="2" t="s">
        <v>7</v>
      </c>
      <c r="N29" s="91" t="s">
        <v>73</v>
      </c>
      <c r="O29" s="2" t="s">
        <v>7</v>
      </c>
      <c r="P29" s="2" t="s">
        <v>7</v>
      </c>
      <c r="Q29" s="3" t="s">
        <v>8</v>
      </c>
      <c r="R29" s="3" t="s">
        <v>8</v>
      </c>
      <c r="S29" s="3" t="s">
        <v>9</v>
      </c>
      <c r="T29" s="3" t="s">
        <v>9</v>
      </c>
      <c r="U29" s="2" t="s">
        <v>7</v>
      </c>
      <c r="V29" s="2" t="s">
        <v>7</v>
      </c>
      <c r="W29" s="2" t="s">
        <v>7</v>
      </c>
      <c r="X29" s="2" t="s">
        <v>7</v>
      </c>
      <c r="Y29" s="3" t="s">
        <v>8</v>
      </c>
      <c r="Z29" s="3" t="s">
        <v>8</v>
      </c>
      <c r="AA29" s="3" t="s">
        <v>9</v>
      </c>
      <c r="AB29" s="3" t="s">
        <v>9</v>
      </c>
      <c r="AC29" s="2" t="s">
        <v>7</v>
      </c>
      <c r="AD29" s="2" t="s">
        <v>7</v>
      </c>
      <c r="AE29" s="2" t="s">
        <v>7</v>
      </c>
      <c r="AF29" s="2" t="s">
        <v>7</v>
      </c>
      <c r="AG29" s="92" t="s">
        <v>10</v>
      </c>
      <c r="AH29" s="93" t="s">
        <v>10</v>
      </c>
    </row>
    <row r="30" spans="2:41" ht="15.75">
      <c r="B30" s="164"/>
      <c r="C30" s="19" t="s">
        <v>39</v>
      </c>
      <c r="D30" s="49">
        <v>37837</v>
      </c>
      <c r="E30" s="4" t="s">
        <v>7</v>
      </c>
      <c r="F30" s="5" t="s">
        <v>7</v>
      </c>
      <c r="G30" s="5" t="s">
        <v>7</v>
      </c>
      <c r="H30" s="5" t="s">
        <v>7</v>
      </c>
      <c r="I30" s="6" t="s">
        <v>8</v>
      </c>
      <c r="J30" s="6" t="s">
        <v>8</v>
      </c>
      <c r="K30" s="6" t="s">
        <v>9</v>
      </c>
      <c r="L30" s="6" t="s">
        <v>9</v>
      </c>
      <c r="M30" s="5" t="s">
        <v>7</v>
      </c>
      <c r="N30" s="27" t="s">
        <v>33</v>
      </c>
      <c r="O30" s="5" t="s">
        <v>7</v>
      </c>
      <c r="P30" s="5" t="s">
        <v>7</v>
      </c>
      <c r="Q30" s="6" t="s">
        <v>8</v>
      </c>
      <c r="R30" s="6" t="s">
        <v>8</v>
      </c>
      <c r="S30" s="6" t="s">
        <v>9</v>
      </c>
      <c r="T30" s="6" t="s">
        <v>9</v>
      </c>
      <c r="U30" s="5" t="s">
        <v>7</v>
      </c>
      <c r="V30" s="5" t="s">
        <v>7</v>
      </c>
      <c r="W30" s="5" t="s">
        <v>7</v>
      </c>
      <c r="X30" s="5" t="s">
        <v>7</v>
      </c>
      <c r="Y30" s="6" t="s">
        <v>8</v>
      </c>
      <c r="Z30" s="6" t="s">
        <v>8</v>
      </c>
      <c r="AA30" s="6" t="s">
        <v>9</v>
      </c>
      <c r="AB30" s="6" t="s">
        <v>9</v>
      </c>
      <c r="AC30" s="5" t="s">
        <v>7</v>
      </c>
      <c r="AD30" s="5" t="s">
        <v>7</v>
      </c>
      <c r="AE30" s="5" t="s">
        <v>7</v>
      </c>
      <c r="AF30" s="5" t="s">
        <v>7</v>
      </c>
      <c r="AG30" s="6" t="s">
        <v>8</v>
      </c>
      <c r="AH30" s="42" t="s">
        <v>8</v>
      </c>
    </row>
    <row r="31" spans="2:41" ht="15.75">
      <c r="B31" s="164"/>
      <c r="C31" s="28" t="s">
        <v>40</v>
      </c>
      <c r="D31" s="50">
        <v>19241</v>
      </c>
      <c r="E31" s="4" t="s">
        <v>7</v>
      </c>
      <c r="F31" s="27" t="s">
        <v>33</v>
      </c>
      <c r="G31" s="5" t="s">
        <v>7</v>
      </c>
      <c r="H31" s="5" t="s">
        <v>7</v>
      </c>
      <c r="I31" s="6" t="s">
        <v>8</v>
      </c>
      <c r="J31" s="6" t="s">
        <v>8</v>
      </c>
      <c r="K31" s="6" t="s">
        <v>9</v>
      </c>
      <c r="L31" s="6" t="s">
        <v>9</v>
      </c>
      <c r="M31" s="5" t="s">
        <v>7</v>
      </c>
      <c r="N31" s="5" t="s">
        <v>7</v>
      </c>
      <c r="O31" s="5" t="s">
        <v>7</v>
      </c>
      <c r="P31" s="5" t="s">
        <v>7</v>
      </c>
      <c r="Q31" s="12" t="s">
        <v>10</v>
      </c>
      <c r="R31" s="12" t="s">
        <v>10</v>
      </c>
      <c r="S31" s="12" t="s">
        <v>10</v>
      </c>
      <c r="T31" s="12" t="s">
        <v>10</v>
      </c>
      <c r="U31" s="12" t="s">
        <v>10</v>
      </c>
      <c r="V31" s="13" t="s">
        <v>11</v>
      </c>
      <c r="W31" s="13" t="s">
        <v>11</v>
      </c>
      <c r="X31" s="12" t="s">
        <v>10</v>
      </c>
      <c r="Y31" s="6" t="s">
        <v>8</v>
      </c>
      <c r="Z31" s="6" t="s">
        <v>8</v>
      </c>
      <c r="AA31" s="6" t="s">
        <v>9</v>
      </c>
      <c r="AB31" s="6" t="s">
        <v>9</v>
      </c>
      <c r="AC31" s="5" t="s">
        <v>7</v>
      </c>
      <c r="AD31" s="5" t="s">
        <v>7</v>
      </c>
      <c r="AE31" s="5" t="s">
        <v>7</v>
      </c>
      <c r="AF31" s="5" t="s">
        <v>7</v>
      </c>
      <c r="AG31" s="6" t="s">
        <v>8</v>
      </c>
      <c r="AH31" s="42" t="s">
        <v>8</v>
      </c>
    </row>
    <row r="32" spans="2:41" ht="16.5" thickBot="1">
      <c r="B32" s="165"/>
      <c r="C32" s="29" t="s">
        <v>41</v>
      </c>
      <c r="D32" s="55">
        <v>18054</v>
      </c>
      <c r="E32" s="7" t="s">
        <v>7</v>
      </c>
      <c r="F32" s="8" t="s">
        <v>7</v>
      </c>
      <c r="G32" s="8" t="s">
        <v>7</v>
      </c>
      <c r="H32" s="8" t="s">
        <v>7</v>
      </c>
      <c r="I32" s="9" t="s">
        <v>8</v>
      </c>
      <c r="J32" s="9" t="s">
        <v>8</v>
      </c>
      <c r="K32" s="9" t="s">
        <v>9</v>
      </c>
      <c r="L32" s="9" t="s">
        <v>9</v>
      </c>
      <c r="M32" s="8" t="s">
        <v>7</v>
      </c>
      <c r="N32" s="8" t="s">
        <v>7</v>
      </c>
      <c r="O32" s="37" t="s">
        <v>34</v>
      </c>
      <c r="P32" s="8" t="s">
        <v>7</v>
      </c>
      <c r="Q32" s="9" t="s">
        <v>8</v>
      </c>
      <c r="R32" s="9" t="s">
        <v>8</v>
      </c>
      <c r="S32" s="9" t="s">
        <v>9</v>
      </c>
      <c r="T32" s="9" t="s">
        <v>9</v>
      </c>
      <c r="U32" s="8" t="s">
        <v>7</v>
      </c>
      <c r="V32" s="8" t="s">
        <v>7</v>
      </c>
      <c r="W32" s="8" t="s">
        <v>7</v>
      </c>
      <c r="X32" s="8" t="s">
        <v>7</v>
      </c>
      <c r="Y32" s="9" t="s">
        <v>8</v>
      </c>
      <c r="Z32" s="9" t="s">
        <v>8</v>
      </c>
      <c r="AA32" s="9" t="s">
        <v>9</v>
      </c>
      <c r="AB32" s="9" t="s">
        <v>9</v>
      </c>
      <c r="AC32" s="8" t="s">
        <v>7</v>
      </c>
      <c r="AD32" s="8" t="s">
        <v>7</v>
      </c>
      <c r="AE32" s="8" t="s">
        <v>7</v>
      </c>
      <c r="AF32" s="8" t="s">
        <v>7</v>
      </c>
      <c r="AG32" s="9" t="s">
        <v>8</v>
      </c>
      <c r="AH32" s="71" t="s">
        <v>8</v>
      </c>
    </row>
    <row r="33" spans="2:34" ht="15.75">
      <c r="B33" s="164" t="s">
        <v>24</v>
      </c>
      <c r="C33" s="30" t="s">
        <v>42</v>
      </c>
      <c r="D33" s="50">
        <v>17978</v>
      </c>
      <c r="E33" s="94" t="s">
        <v>33</v>
      </c>
      <c r="F33" s="2" t="s">
        <v>7</v>
      </c>
      <c r="G33" s="3" t="s">
        <v>8</v>
      </c>
      <c r="H33" s="3" t="s">
        <v>8</v>
      </c>
      <c r="I33" s="3" t="s">
        <v>9</v>
      </c>
      <c r="J33" s="3" t="s">
        <v>9</v>
      </c>
      <c r="K33" s="2" t="s">
        <v>7</v>
      </c>
      <c r="L33" s="70" t="s">
        <v>34</v>
      </c>
      <c r="M33" s="2" t="s">
        <v>7</v>
      </c>
      <c r="N33" s="2" t="s">
        <v>7</v>
      </c>
      <c r="O33" s="3" t="s">
        <v>8</v>
      </c>
      <c r="P33" s="3" t="s">
        <v>8</v>
      </c>
      <c r="Q33" s="3" t="s">
        <v>9</v>
      </c>
      <c r="R33" s="3" t="s">
        <v>9</v>
      </c>
      <c r="S33" s="2" t="s">
        <v>7</v>
      </c>
      <c r="T33" s="2" t="s">
        <v>7</v>
      </c>
      <c r="U33" s="2" t="s">
        <v>7</v>
      </c>
      <c r="V33" s="2" t="s">
        <v>7</v>
      </c>
      <c r="W33" s="3" t="s">
        <v>8</v>
      </c>
      <c r="X33" s="3" t="s">
        <v>8</v>
      </c>
      <c r="Y33" s="3" t="s">
        <v>9</v>
      </c>
      <c r="Z33" s="3" t="s">
        <v>9</v>
      </c>
      <c r="AA33" s="2" t="s">
        <v>7</v>
      </c>
      <c r="AB33" s="2" t="s">
        <v>7</v>
      </c>
      <c r="AC33" s="2" t="s">
        <v>7</v>
      </c>
      <c r="AD33" s="2" t="s">
        <v>7</v>
      </c>
      <c r="AE33" s="3" t="s">
        <v>8</v>
      </c>
      <c r="AF33" s="3" t="s">
        <v>8</v>
      </c>
      <c r="AG33" s="3" t="s">
        <v>9</v>
      </c>
      <c r="AH33" s="41" t="s">
        <v>9</v>
      </c>
    </row>
    <row r="34" spans="2:34" ht="15.75">
      <c r="B34" s="164"/>
      <c r="C34" s="30" t="s">
        <v>43</v>
      </c>
      <c r="D34" s="50">
        <v>18401</v>
      </c>
      <c r="E34" s="4" t="s">
        <v>7</v>
      </c>
      <c r="F34" s="5" t="s">
        <v>7</v>
      </c>
      <c r="G34" s="6" t="s">
        <v>8</v>
      </c>
      <c r="H34" s="6" t="s">
        <v>8</v>
      </c>
      <c r="I34" s="6" t="s">
        <v>9</v>
      </c>
      <c r="J34" s="6" t="s">
        <v>9</v>
      </c>
      <c r="K34" s="5" t="s">
        <v>7</v>
      </c>
      <c r="L34" s="5" t="s">
        <v>7</v>
      </c>
      <c r="M34" s="27" t="s">
        <v>33</v>
      </c>
      <c r="N34" s="5" t="s">
        <v>7</v>
      </c>
      <c r="O34" s="6" t="s">
        <v>8</v>
      </c>
      <c r="P34" s="6" t="s">
        <v>8</v>
      </c>
      <c r="Q34" s="6" t="s">
        <v>9</v>
      </c>
      <c r="R34" s="6" t="s">
        <v>9</v>
      </c>
      <c r="S34" s="5" t="s">
        <v>7</v>
      </c>
      <c r="T34" s="5" t="s">
        <v>7</v>
      </c>
      <c r="U34" s="89" t="s">
        <v>73</v>
      </c>
      <c r="V34" s="5" t="s">
        <v>7</v>
      </c>
      <c r="W34" s="6" t="s">
        <v>8</v>
      </c>
      <c r="X34" s="6" t="s">
        <v>8</v>
      </c>
      <c r="Y34" s="6" t="s">
        <v>9</v>
      </c>
      <c r="Z34" s="6" t="s">
        <v>9</v>
      </c>
      <c r="AA34" s="5" t="s">
        <v>7</v>
      </c>
      <c r="AB34" s="5" t="s">
        <v>7</v>
      </c>
      <c r="AC34" s="5" t="s">
        <v>7</v>
      </c>
      <c r="AD34" s="5" t="s">
        <v>7</v>
      </c>
      <c r="AE34" s="6" t="s">
        <v>8</v>
      </c>
      <c r="AF34" s="6" t="s">
        <v>8</v>
      </c>
      <c r="AG34" s="6" t="s">
        <v>9</v>
      </c>
      <c r="AH34" s="42" t="s">
        <v>9</v>
      </c>
    </row>
    <row r="35" spans="2:34" ht="15.75">
      <c r="B35" s="164"/>
      <c r="C35" s="21" t="s">
        <v>44</v>
      </c>
      <c r="D35" s="49">
        <v>39305</v>
      </c>
      <c r="E35" s="4" t="s">
        <v>7</v>
      </c>
      <c r="F35" s="5" t="s">
        <v>7</v>
      </c>
      <c r="G35" s="6" t="s">
        <v>8</v>
      </c>
      <c r="H35" s="6" t="s">
        <v>8</v>
      </c>
      <c r="I35" s="6" t="s">
        <v>9</v>
      </c>
      <c r="J35" s="6" t="s">
        <v>9</v>
      </c>
      <c r="K35" s="5" t="s">
        <v>7</v>
      </c>
      <c r="L35" s="5" t="s">
        <v>7</v>
      </c>
      <c r="M35" s="5" t="s">
        <v>7</v>
      </c>
      <c r="N35" s="5" t="s">
        <v>7</v>
      </c>
      <c r="O35" s="6" t="s">
        <v>8</v>
      </c>
      <c r="P35" s="6" t="s">
        <v>8</v>
      </c>
      <c r="Q35" s="6" t="s">
        <v>9</v>
      </c>
      <c r="R35" s="6" t="s">
        <v>9</v>
      </c>
      <c r="S35" s="5" t="s">
        <v>7</v>
      </c>
      <c r="T35" s="27" t="s">
        <v>33</v>
      </c>
      <c r="U35" s="5" t="s">
        <v>7</v>
      </c>
      <c r="V35" s="5" t="s">
        <v>7</v>
      </c>
      <c r="W35" s="6" t="s">
        <v>8</v>
      </c>
      <c r="X35" s="6" t="s">
        <v>8</v>
      </c>
      <c r="Y35" s="6" t="s">
        <v>9</v>
      </c>
      <c r="Z35" s="6" t="s">
        <v>9</v>
      </c>
      <c r="AA35" s="5" t="s">
        <v>7</v>
      </c>
      <c r="AB35" s="5" t="s">
        <v>7</v>
      </c>
      <c r="AC35" s="5" t="s">
        <v>7</v>
      </c>
      <c r="AD35" s="5" t="s">
        <v>7</v>
      </c>
      <c r="AE35" s="6" t="s">
        <v>8</v>
      </c>
      <c r="AF35" s="6" t="s">
        <v>8</v>
      </c>
      <c r="AG35" s="6" t="s">
        <v>9</v>
      </c>
      <c r="AH35" s="42" t="s">
        <v>9</v>
      </c>
    </row>
    <row r="36" spans="2:34" ht="16.5" thickBot="1">
      <c r="B36" s="165"/>
      <c r="C36" s="22" t="s">
        <v>45</v>
      </c>
      <c r="D36" s="55">
        <v>39057</v>
      </c>
      <c r="E36" s="7" t="s">
        <v>7</v>
      </c>
      <c r="F36" s="8" t="s">
        <v>7</v>
      </c>
      <c r="G36" s="95" t="s">
        <v>8</v>
      </c>
      <c r="H36" s="9" t="s">
        <v>8</v>
      </c>
      <c r="I36" s="9" t="s">
        <v>9</v>
      </c>
      <c r="J36" s="9" t="s">
        <v>9</v>
      </c>
      <c r="K36" s="8" t="s">
        <v>7</v>
      </c>
      <c r="L36" s="8" t="s">
        <v>7</v>
      </c>
      <c r="M36" s="8" t="s">
        <v>7</v>
      </c>
      <c r="N36" s="8" t="s">
        <v>7</v>
      </c>
      <c r="O36" s="32" t="s">
        <v>10</v>
      </c>
      <c r="P36" s="32" t="s">
        <v>10</v>
      </c>
      <c r="Q36" s="32" t="s">
        <v>10</v>
      </c>
      <c r="R36" s="32" t="s">
        <v>10</v>
      </c>
      <c r="S36" s="32" t="s">
        <v>10</v>
      </c>
      <c r="T36" s="33" t="s">
        <v>11</v>
      </c>
      <c r="U36" s="33" t="s">
        <v>11</v>
      </c>
      <c r="V36" s="32" t="s">
        <v>10</v>
      </c>
      <c r="W36" s="9" t="s">
        <v>8</v>
      </c>
      <c r="X36" s="9" t="s">
        <v>8</v>
      </c>
      <c r="Y36" s="9" t="s">
        <v>9</v>
      </c>
      <c r="Z36" s="9" t="s">
        <v>9</v>
      </c>
      <c r="AA36" s="8" t="s">
        <v>7</v>
      </c>
      <c r="AB36" s="8" t="s">
        <v>7</v>
      </c>
      <c r="AC36" s="8" t="s">
        <v>7</v>
      </c>
      <c r="AD36" s="8" t="s">
        <v>7</v>
      </c>
      <c r="AE36" s="9" t="s">
        <v>8</v>
      </c>
      <c r="AF36" s="9" t="s">
        <v>8</v>
      </c>
      <c r="AG36" s="9" t="s">
        <v>9</v>
      </c>
      <c r="AH36" s="71" t="s">
        <v>9</v>
      </c>
    </row>
    <row r="37" spans="2:34" ht="15.75">
      <c r="B37" s="163" t="s">
        <v>8</v>
      </c>
      <c r="C37" s="23" t="s">
        <v>46</v>
      </c>
      <c r="D37" s="57">
        <v>35082</v>
      </c>
      <c r="E37" s="10" t="s">
        <v>8</v>
      </c>
      <c r="F37" s="3" t="s">
        <v>8</v>
      </c>
      <c r="G37" s="3" t="s">
        <v>9</v>
      </c>
      <c r="H37" s="3" t="s">
        <v>9</v>
      </c>
      <c r="I37" s="2" t="s">
        <v>7</v>
      </c>
      <c r="J37" s="2" t="s">
        <v>7</v>
      </c>
      <c r="K37" s="2" t="s">
        <v>7</v>
      </c>
      <c r="L37" s="91" t="s">
        <v>73</v>
      </c>
      <c r="M37" s="3" t="s">
        <v>8</v>
      </c>
      <c r="N37" s="3" t="s">
        <v>8</v>
      </c>
      <c r="O37" s="3" t="s">
        <v>9</v>
      </c>
      <c r="P37" s="3" t="s">
        <v>9</v>
      </c>
      <c r="Q37" s="2" t="s">
        <v>7</v>
      </c>
      <c r="R37" s="70" t="s">
        <v>33</v>
      </c>
      <c r="S37" s="2" t="s">
        <v>7</v>
      </c>
      <c r="T37" s="2" t="s">
        <v>7</v>
      </c>
      <c r="U37" s="3" t="s">
        <v>8</v>
      </c>
      <c r="V37" s="3" t="s">
        <v>8</v>
      </c>
      <c r="W37" s="3" t="s">
        <v>9</v>
      </c>
      <c r="X37" s="3" t="s">
        <v>9</v>
      </c>
      <c r="Y37" s="2" t="s">
        <v>7</v>
      </c>
      <c r="Z37" s="2" t="s">
        <v>7</v>
      </c>
      <c r="AA37" s="2" t="s">
        <v>7</v>
      </c>
      <c r="AB37" s="2" t="s">
        <v>7</v>
      </c>
      <c r="AC37" s="3" t="s">
        <v>8</v>
      </c>
      <c r="AD37" s="3" t="s">
        <v>8</v>
      </c>
      <c r="AE37" s="3" t="s">
        <v>9</v>
      </c>
      <c r="AF37" s="3" t="s">
        <v>9</v>
      </c>
      <c r="AG37" s="2" t="s">
        <v>7</v>
      </c>
      <c r="AH37" s="72" t="s">
        <v>7</v>
      </c>
    </row>
    <row r="38" spans="2:34" ht="15.75">
      <c r="B38" s="164"/>
      <c r="C38" s="24" t="s">
        <v>47</v>
      </c>
      <c r="D38" s="49">
        <v>36155</v>
      </c>
      <c r="E38" s="11" t="s">
        <v>8</v>
      </c>
      <c r="F38" s="6" t="s">
        <v>8</v>
      </c>
      <c r="G38" s="6" t="s">
        <v>9</v>
      </c>
      <c r="H38" s="6" t="s">
        <v>9</v>
      </c>
      <c r="I38" s="5" t="s">
        <v>7</v>
      </c>
      <c r="J38" s="5" t="s">
        <v>7</v>
      </c>
      <c r="K38" s="5" t="s">
        <v>7</v>
      </c>
      <c r="L38" s="5" t="s">
        <v>7</v>
      </c>
      <c r="M38" s="6" t="s">
        <v>8</v>
      </c>
      <c r="N38" s="78" t="s">
        <v>8</v>
      </c>
      <c r="O38" s="6" t="s">
        <v>9</v>
      </c>
      <c r="P38" s="6" t="s">
        <v>9</v>
      </c>
      <c r="Q38" s="5" t="s">
        <v>7</v>
      </c>
      <c r="R38" s="5" t="s">
        <v>7</v>
      </c>
      <c r="S38" s="27" t="s">
        <v>33</v>
      </c>
      <c r="T38" s="5" t="s">
        <v>7</v>
      </c>
      <c r="U38" s="6" t="s">
        <v>8</v>
      </c>
      <c r="V38" s="6" t="s">
        <v>8</v>
      </c>
      <c r="W38" s="6" t="s">
        <v>9</v>
      </c>
      <c r="X38" s="6" t="s">
        <v>9</v>
      </c>
      <c r="Y38" s="5" t="s">
        <v>7</v>
      </c>
      <c r="Z38" s="5" t="s">
        <v>7</v>
      </c>
      <c r="AA38" s="5" t="s">
        <v>7</v>
      </c>
      <c r="AB38" s="5" t="s">
        <v>7</v>
      </c>
      <c r="AC38" s="6" t="s">
        <v>8</v>
      </c>
      <c r="AD38" s="6" t="s">
        <v>8</v>
      </c>
      <c r="AE38" s="6" t="s">
        <v>9</v>
      </c>
      <c r="AF38" s="6" t="s">
        <v>9</v>
      </c>
      <c r="AG38" s="5" t="s">
        <v>7</v>
      </c>
      <c r="AH38" s="73" t="s">
        <v>7</v>
      </c>
    </row>
    <row r="39" spans="2:34" ht="15.75">
      <c r="B39" s="164"/>
      <c r="C39" s="24" t="s">
        <v>62</v>
      </c>
      <c r="D39" s="56">
        <v>39035</v>
      </c>
      <c r="E39" s="11" t="s">
        <v>8</v>
      </c>
      <c r="F39" s="6" t="s">
        <v>8</v>
      </c>
      <c r="G39" s="6" t="s">
        <v>9</v>
      </c>
      <c r="H39" s="6" t="s">
        <v>9</v>
      </c>
      <c r="I39" s="5" t="s">
        <v>7</v>
      </c>
      <c r="J39" s="5" t="s">
        <v>7</v>
      </c>
      <c r="K39" s="5" t="s">
        <v>7</v>
      </c>
      <c r="L39" s="5" t="s">
        <v>7</v>
      </c>
      <c r="M39" s="6" t="s">
        <v>8</v>
      </c>
      <c r="N39" s="6" t="s">
        <v>8</v>
      </c>
      <c r="O39" s="6" t="s">
        <v>9</v>
      </c>
      <c r="P39" s="6" t="s">
        <v>9</v>
      </c>
      <c r="Q39" s="5" t="s">
        <v>7</v>
      </c>
      <c r="R39" s="5" t="s">
        <v>7</v>
      </c>
      <c r="S39" s="5" t="s">
        <v>7</v>
      </c>
      <c r="T39" s="5" t="s">
        <v>7</v>
      </c>
      <c r="U39" s="6" t="s">
        <v>8</v>
      </c>
      <c r="V39" s="6" t="s">
        <v>8</v>
      </c>
      <c r="W39" s="6" t="s">
        <v>9</v>
      </c>
      <c r="X39" s="6" t="s">
        <v>9</v>
      </c>
      <c r="Y39" s="5" t="s">
        <v>7</v>
      </c>
      <c r="Z39" s="5" t="s">
        <v>7</v>
      </c>
      <c r="AA39" s="5" t="s">
        <v>7</v>
      </c>
      <c r="AB39" s="5" t="s">
        <v>7</v>
      </c>
      <c r="AC39" s="6" t="s">
        <v>8</v>
      </c>
      <c r="AD39" s="6" t="s">
        <v>8</v>
      </c>
      <c r="AE39" s="6" t="s">
        <v>9</v>
      </c>
      <c r="AF39" s="6" t="s">
        <v>9</v>
      </c>
      <c r="AG39" s="5" t="s">
        <v>7</v>
      </c>
      <c r="AH39" s="73" t="s">
        <v>7</v>
      </c>
    </row>
    <row r="40" spans="2:34" ht="16.5" thickBot="1">
      <c r="B40" s="165"/>
      <c r="C40" s="25" t="s">
        <v>48</v>
      </c>
      <c r="D40" s="55">
        <v>39021</v>
      </c>
      <c r="E40" s="14" t="s">
        <v>8</v>
      </c>
      <c r="F40" s="9" t="s">
        <v>8</v>
      </c>
      <c r="G40" s="9" t="s">
        <v>9</v>
      </c>
      <c r="H40" s="9" t="s">
        <v>9</v>
      </c>
      <c r="I40" s="8" t="s">
        <v>7</v>
      </c>
      <c r="J40" s="8" t="s">
        <v>7</v>
      </c>
      <c r="K40" s="37" t="s">
        <v>34</v>
      </c>
      <c r="L40" s="8" t="s">
        <v>7</v>
      </c>
      <c r="M40" s="9" t="s">
        <v>8</v>
      </c>
      <c r="N40" s="9" t="s">
        <v>8</v>
      </c>
      <c r="O40" s="9" t="s">
        <v>9</v>
      </c>
      <c r="P40" s="9" t="s">
        <v>9</v>
      </c>
      <c r="Q40" s="8" t="s">
        <v>7</v>
      </c>
      <c r="R40" s="8" t="s">
        <v>7</v>
      </c>
      <c r="S40" s="96" t="s">
        <v>73</v>
      </c>
      <c r="T40" s="8" t="s">
        <v>7</v>
      </c>
      <c r="U40" s="95" t="s">
        <v>8</v>
      </c>
      <c r="V40" s="9" t="s">
        <v>8</v>
      </c>
      <c r="W40" s="9" t="s">
        <v>9</v>
      </c>
      <c r="X40" s="9" t="s">
        <v>9</v>
      </c>
      <c r="Y40" s="8" t="s">
        <v>7</v>
      </c>
      <c r="Z40" s="8" t="s">
        <v>7</v>
      </c>
      <c r="AA40" s="8" t="s">
        <v>7</v>
      </c>
      <c r="AB40" s="8" t="s">
        <v>7</v>
      </c>
      <c r="AC40" s="9" t="s">
        <v>8</v>
      </c>
      <c r="AD40" s="9" t="s">
        <v>8</v>
      </c>
      <c r="AE40" s="9" t="s">
        <v>9</v>
      </c>
      <c r="AF40" s="9" t="s">
        <v>9</v>
      </c>
      <c r="AG40" s="8" t="s">
        <v>7</v>
      </c>
      <c r="AH40" s="74" t="s">
        <v>7</v>
      </c>
    </row>
    <row r="41" spans="2:34">
      <c r="D41" s="46" t="s">
        <v>8</v>
      </c>
      <c r="E41" s="45">
        <f>COUNTIF(E25:E40,"D")+COUNTIF(E25:E40,"R/D")</f>
        <v>4</v>
      </c>
      <c r="F41" s="45">
        <f t="shared" ref="F41:AH41" si="3">COUNTIF(F25:F40,"D")+COUNTIF(F25:F40,"R/D")</f>
        <v>4</v>
      </c>
      <c r="G41" s="45">
        <f t="shared" si="3"/>
        <v>4</v>
      </c>
      <c r="H41" s="45">
        <f t="shared" si="3"/>
        <v>4</v>
      </c>
      <c r="I41" s="45">
        <f t="shared" si="3"/>
        <v>4</v>
      </c>
      <c r="J41" s="45">
        <f t="shared" si="3"/>
        <v>4</v>
      </c>
      <c r="K41" s="45">
        <f>COUNTIF(K25:K40,"D")+COUNTIF(K25:K40,"R/D")</f>
        <v>4</v>
      </c>
      <c r="L41" s="45">
        <f t="shared" si="3"/>
        <v>4</v>
      </c>
      <c r="M41" s="45">
        <f t="shared" si="3"/>
        <v>4</v>
      </c>
      <c r="N41" s="45">
        <f t="shared" si="3"/>
        <v>4</v>
      </c>
      <c r="O41" s="45">
        <f t="shared" si="3"/>
        <v>4</v>
      </c>
      <c r="P41" s="45">
        <f t="shared" si="3"/>
        <v>4</v>
      </c>
      <c r="Q41" s="45">
        <f t="shared" si="3"/>
        <v>4</v>
      </c>
      <c r="R41" s="45">
        <f t="shared" si="3"/>
        <v>4</v>
      </c>
      <c r="S41" s="45">
        <f t="shared" si="3"/>
        <v>4</v>
      </c>
      <c r="T41" s="45">
        <f t="shared" si="3"/>
        <v>4</v>
      </c>
      <c r="U41" s="45">
        <f t="shared" si="3"/>
        <v>4</v>
      </c>
      <c r="V41" s="45">
        <f t="shared" si="3"/>
        <v>4</v>
      </c>
      <c r="W41" s="45">
        <f t="shared" si="3"/>
        <v>4</v>
      </c>
      <c r="X41" s="45">
        <f t="shared" si="3"/>
        <v>4</v>
      </c>
      <c r="Y41" s="45">
        <f t="shared" si="3"/>
        <v>4</v>
      </c>
      <c r="Z41" s="45">
        <f t="shared" si="3"/>
        <v>4</v>
      </c>
      <c r="AA41" s="45">
        <f t="shared" si="3"/>
        <v>4</v>
      </c>
      <c r="AB41" s="45">
        <f t="shared" si="3"/>
        <v>4</v>
      </c>
      <c r="AC41" s="45">
        <f t="shared" si="3"/>
        <v>4</v>
      </c>
      <c r="AD41" s="45">
        <f t="shared" si="3"/>
        <v>4</v>
      </c>
      <c r="AE41" s="45">
        <f t="shared" si="3"/>
        <v>4</v>
      </c>
      <c r="AF41" s="45">
        <f t="shared" si="3"/>
        <v>4</v>
      </c>
      <c r="AG41" s="45">
        <f t="shared" si="3"/>
        <v>4</v>
      </c>
      <c r="AH41" s="45">
        <f t="shared" si="3"/>
        <v>4</v>
      </c>
    </row>
    <row r="42" spans="2:34">
      <c r="D42" s="47" t="s">
        <v>9</v>
      </c>
      <c r="E42" s="44">
        <f>COUNTIF(E25:E40,"N")+COUNTIF(E25:E40,"R/N")</f>
        <v>4</v>
      </c>
      <c r="F42" s="44">
        <f t="shared" ref="F42:AH42" si="4">COUNTIF(F25:F40,"N")+COUNTIF(F25:F40,"R/N")</f>
        <v>4</v>
      </c>
      <c r="G42" s="44">
        <f t="shared" si="4"/>
        <v>4</v>
      </c>
      <c r="H42" s="44">
        <f t="shared" si="4"/>
        <v>4</v>
      </c>
      <c r="I42" s="44">
        <f t="shared" si="4"/>
        <v>4</v>
      </c>
      <c r="J42" s="44">
        <f t="shared" si="4"/>
        <v>4</v>
      </c>
      <c r="K42" s="44">
        <f t="shared" si="4"/>
        <v>4</v>
      </c>
      <c r="L42" s="44">
        <f t="shared" si="4"/>
        <v>4</v>
      </c>
      <c r="M42" s="44">
        <f t="shared" si="4"/>
        <v>4</v>
      </c>
      <c r="N42" s="44">
        <f t="shared" si="4"/>
        <v>4</v>
      </c>
      <c r="O42" s="44">
        <f t="shared" si="4"/>
        <v>4</v>
      </c>
      <c r="P42" s="44">
        <f t="shared" si="4"/>
        <v>4</v>
      </c>
      <c r="Q42" s="44">
        <f t="shared" si="4"/>
        <v>4</v>
      </c>
      <c r="R42" s="44">
        <f t="shared" si="4"/>
        <v>4</v>
      </c>
      <c r="S42" s="44">
        <f t="shared" si="4"/>
        <v>4</v>
      </c>
      <c r="T42" s="44">
        <f t="shared" si="4"/>
        <v>4</v>
      </c>
      <c r="U42" s="44">
        <f t="shared" si="4"/>
        <v>4</v>
      </c>
      <c r="V42" s="44">
        <f t="shared" si="4"/>
        <v>4</v>
      </c>
      <c r="W42" s="44">
        <f t="shared" si="4"/>
        <v>4</v>
      </c>
      <c r="X42" s="44">
        <f t="shared" si="4"/>
        <v>4</v>
      </c>
      <c r="Y42" s="44">
        <f t="shared" si="4"/>
        <v>4</v>
      </c>
      <c r="Z42" s="44">
        <f t="shared" si="4"/>
        <v>4</v>
      </c>
      <c r="AA42" s="44">
        <f t="shared" si="4"/>
        <v>4</v>
      </c>
      <c r="AB42" s="44">
        <f t="shared" si="4"/>
        <v>4</v>
      </c>
      <c r="AC42" s="44">
        <f t="shared" si="4"/>
        <v>4</v>
      </c>
      <c r="AD42" s="44">
        <f t="shared" si="4"/>
        <v>4</v>
      </c>
      <c r="AE42" s="44">
        <f t="shared" si="4"/>
        <v>4</v>
      </c>
      <c r="AF42" s="44">
        <f t="shared" si="4"/>
        <v>4</v>
      </c>
      <c r="AG42" s="44">
        <f t="shared" si="4"/>
        <v>4</v>
      </c>
      <c r="AH42" s="44">
        <f t="shared" si="4"/>
        <v>4</v>
      </c>
    </row>
    <row r="43" spans="2:34">
      <c r="D43" s="48" t="s">
        <v>7</v>
      </c>
      <c r="E43" s="44">
        <f>COUNTIF(E25:E40,"R")</f>
        <v>7</v>
      </c>
      <c r="F43" s="44">
        <f t="shared" ref="F43:AH43" si="5">COUNTIF(F25:F40,"R")</f>
        <v>7</v>
      </c>
      <c r="G43" s="44">
        <f t="shared" si="5"/>
        <v>6</v>
      </c>
      <c r="H43" s="44">
        <f t="shared" si="5"/>
        <v>7</v>
      </c>
      <c r="I43" s="44">
        <f t="shared" si="5"/>
        <v>7</v>
      </c>
      <c r="J43" s="44">
        <f t="shared" si="5"/>
        <v>7</v>
      </c>
      <c r="K43" s="44">
        <f t="shared" si="5"/>
        <v>7</v>
      </c>
      <c r="L43" s="44">
        <f t="shared" si="5"/>
        <v>6</v>
      </c>
      <c r="M43" s="44">
        <f t="shared" si="5"/>
        <v>7</v>
      </c>
      <c r="N43" s="44">
        <f t="shared" si="5"/>
        <v>6</v>
      </c>
      <c r="O43" s="44">
        <f t="shared" si="5"/>
        <v>6</v>
      </c>
      <c r="P43" s="44">
        <f t="shared" si="5"/>
        <v>6</v>
      </c>
      <c r="Q43" s="44">
        <f t="shared" si="5"/>
        <v>5</v>
      </c>
      <c r="R43" s="44">
        <f t="shared" si="5"/>
        <v>5</v>
      </c>
      <c r="S43" s="44">
        <f t="shared" si="5"/>
        <v>5</v>
      </c>
      <c r="T43" s="44">
        <f t="shared" si="5"/>
        <v>6</v>
      </c>
      <c r="U43" s="44">
        <f t="shared" si="5"/>
        <v>5</v>
      </c>
      <c r="V43" s="44">
        <f t="shared" si="5"/>
        <v>6</v>
      </c>
      <c r="W43" s="44">
        <f t="shared" si="5"/>
        <v>7</v>
      </c>
      <c r="X43" s="44">
        <f t="shared" si="5"/>
        <v>7</v>
      </c>
      <c r="Y43" s="44">
        <f t="shared" si="5"/>
        <v>8</v>
      </c>
      <c r="Z43" s="44">
        <f t="shared" si="5"/>
        <v>8</v>
      </c>
      <c r="AA43" s="44">
        <f t="shared" si="5"/>
        <v>8</v>
      </c>
      <c r="AB43" s="44">
        <f t="shared" si="5"/>
        <v>8</v>
      </c>
      <c r="AC43" s="44">
        <f t="shared" si="5"/>
        <v>8</v>
      </c>
      <c r="AD43" s="44">
        <f t="shared" si="5"/>
        <v>8</v>
      </c>
      <c r="AE43" s="44">
        <f t="shared" si="5"/>
        <v>8</v>
      </c>
      <c r="AF43" s="44">
        <f t="shared" si="5"/>
        <v>8</v>
      </c>
      <c r="AG43" s="44">
        <f>COUNTIF(AG25:AG40,"R")</f>
        <v>7</v>
      </c>
      <c r="AH43" s="44">
        <f t="shared" si="5"/>
        <v>7</v>
      </c>
    </row>
  </sheetData>
  <mergeCells count="24">
    <mergeCell ref="AK20:AK21"/>
    <mergeCell ref="AL20:AL21"/>
    <mergeCell ref="AO9:AO13"/>
    <mergeCell ref="B33:B36"/>
    <mergeCell ref="B37:B40"/>
    <mergeCell ref="B14:B16"/>
    <mergeCell ref="B29:B32"/>
    <mergeCell ref="B22:D22"/>
    <mergeCell ref="B23:D23"/>
    <mergeCell ref="B25:B28"/>
    <mergeCell ref="B11:B13"/>
    <mergeCell ref="E22:AH22"/>
    <mergeCell ref="AO20:AO21"/>
    <mergeCell ref="B3:D3"/>
    <mergeCell ref="B4:D4"/>
    <mergeCell ref="B6:B8"/>
    <mergeCell ref="B9:B10"/>
    <mergeCell ref="E3:AH3"/>
    <mergeCell ref="AK7:AO7"/>
    <mergeCell ref="AK9:AK13"/>
    <mergeCell ref="AL9:AL13"/>
    <mergeCell ref="AK14:AK19"/>
    <mergeCell ref="AL14:AL19"/>
    <mergeCell ref="AO14:AO19"/>
  </mergeCells>
  <conditionalFormatting sqref="E17:L17">
    <cfRule type="cellIs" dxfId="51" priority="13" operator="equal">
      <formula>"R/N"</formula>
    </cfRule>
  </conditionalFormatting>
  <conditionalFormatting sqref="E6:AH11 E12:G12 I12:AH12 E13:AH13 E14:U14 W14:AH14 E15:AH16">
    <cfRule type="cellIs" dxfId="50" priority="21" operator="equal">
      <formula>"R/N"</formula>
    </cfRule>
  </conditionalFormatting>
  <conditionalFormatting sqref="E6:AH11 E12:G12 I12:AH12 E13:AH13 E14:U14 W14:AH14">
    <cfRule type="cellIs" dxfId="49" priority="22" operator="equal">
      <formula>"R/D"</formula>
    </cfRule>
  </conditionalFormatting>
  <conditionalFormatting sqref="E15:AH17">
    <cfRule type="cellIs" dxfId="48" priority="20" operator="equal">
      <formula>"R/D"</formula>
    </cfRule>
  </conditionalFormatting>
  <conditionalFormatting sqref="E18:AH19">
    <cfRule type="cellIs" dxfId="47" priority="119" operator="greaterThan">
      <formula>3</formula>
    </cfRule>
    <cfRule type="cellIs" dxfId="46" priority="120" operator="lessThan">
      <formula>2</formula>
    </cfRule>
    <cfRule type="cellIs" dxfId="45" priority="121" operator="lessThan">
      <formula>1</formula>
    </cfRule>
    <cfRule type="cellIs" dxfId="44" priority="122" operator="lessThan">
      <formula>2</formula>
    </cfRule>
  </conditionalFormatting>
  <conditionalFormatting sqref="E20:AH20">
    <cfRule type="cellIs" dxfId="43" priority="116" operator="lessThan">
      <formula>4</formula>
    </cfRule>
    <cfRule type="cellIs" dxfId="42" priority="117" operator="lessThan">
      <formula>1</formula>
    </cfRule>
    <cfRule type="cellIs" dxfId="41" priority="118" operator="lessThan">
      <formula>2</formula>
    </cfRule>
  </conditionalFormatting>
  <conditionalFormatting sqref="E41:AH42">
    <cfRule type="cellIs" dxfId="40" priority="1" operator="greaterThan">
      <formula>4</formula>
    </cfRule>
  </conditionalFormatting>
  <conditionalFormatting sqref="E41:AH43">
    <cfRule type="cellIs" dxfId="39" priority="2" operator="lessThan">
      <formula>4</formula>
    </cfRule>
    <cfRule type="cellIs" dxfId="38" priority="3" operator="lessThan">
      <formula>1</formula>
    </cfRule>
    <cfRule type="cellIs" dxfId="37" priority="4" operator="lessThan">
      <formula>2</formula>
    </cfRule>
  </conditionalFormatting>
  <conditionalFormatting sqref="Q17:T17">
    <cfRule type="cellIs" dxfId="36" priority="18" operator="equal">
      <formula>"R/N"</formula>
    </cfRule>
  </conditionalFormatting>
  <conditionalFormatting sqref="Y17:AB17">
    <cfRule type="cellIs" dxfId="35" priority="17" operator="equal">
      <formula>"R/N"</formula>
    </cfRule>
  </conditionalFormatting>
  <conditionalFormatting sqref="AG17:AH17">
    <cfRule type="cellIs" dxfId="34" priority="16" operator="equal">
      <formula>"R/N"</formula>
    </cfRule>
  </conditionalFormatting>
  <pageMargins left="0.7" right="0.7" top="0.75" bottom="0.75" header="0.3" footer="0.3"/>
  <pageSetup orientation="portrait" r:id="rId1"/>
  <headerFooter>
    <oddHeader>&amp;L&amp;"Calibri"&amp;10&amp;K000000CLASSIFICATION: C1 - CONTROLLED&amp;1#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C37D3-59C7-4A10-9BCE-D571CDBED1DC}">
  <dimension ref="A1:AK21"/>
  <sheetViews>
    <sheetView tabSelected="1" zoomScale="90" zoomScaleNormal="90" workbookViewId="0">
      <selection activeCell="AA11" sqref="AA11"/>
    </sheetView>
  </sheetViews>
  <sheetFormatPr defaultColWidth="6" defaultRowHeight="15"/>
  <cols>
    <col min="1" max="1" width="7" bestFit="1" customWidth="1"/>
    <col min="2" max="3" width="10" bestFit="1" customWidth="1"/>
    <col min="4" max="10" width="9.140625" bestFit="1" customWidth="1"/>
    <col min="11" max="11" width="8.7109375" bestFit="1" customWidth="1"/>
    <col min="12" max="12" width="8.28515625" bestFit="1" customWidth="1"/>
    <col min="13" max="20" width="8.7109375" bestFit="1" customWidth="1"/>
    <col min="21" max="21" width="9.140625" bestFit="1" customWidth="1"/>
    <col min="22" max="22" width="8.7109375" bestFit="1" customWidth="1"/>
    <col min="23" max="31" width="9.140625" bestFit="1" customWidth="1"/>
    <col min="32" max="32" width="8" bestFit="1" customWidth="1"/>
    <col min="33" max="33" width="6.28515625" customWidth="1"/>
    <col min="34" max="34" width="7" customWidth="1"/>
  </cols>
  <sheetData>
    <row r="1" spans="1:35" ht="15.75" thickBot="1">
      <c r="A1" s="137" t="s">
        <v>16</v>
      </c>
      <c r="B1" s="138">
        <v>1</v>
      </c>
      <c r="C1" s="139">
        <v>2</v>
      </c>
      <c r="D1" s="139">
        <v>3</v>
      </c>
      <c r="E1" s="139">
        <v>4</v>
      </c>
      <c r="F1" s="139">
        <v>5</v>
      </c>
      <c r="G1" s="139">
        <v>6</v>
      </c>
      <c r="H1" s="139">
        <v>7</v>
      </c>
      <c r="I1" s="139">
        <v>8</v>
      </c>
      <c r="J1" s="139">
        <v>9</v>
      </c>
      <c r="K1" s="139">
        <v>10</v>
      </c>
      <c r="L1" s="139">
        <v>11</v>
      </c>
      <c r="M1" s="139">
        <v>12</v>
      </c>
      <c r="N1" s="139">
        <v>13</v>
      </c>
      <c r="O1" s="139">
        <v>14</v>
      </c>
      <c r="P1" s="139">
        <v>15</v>
      </c>
      <c r="Q1" s="139">
        <v>16</v>
      </c>
      <c r="R1" s="139">
        <v>17</v>
      </c>
      <c r="S1" s="139">
        <v>18</v>
      </c>
      <c r="T1" s="139">
        <v>19</v>
      </c>
      <c r="U1" s="139">
        <v>20</v>
      </c>
      <c r="V1" s="139">
        <v>21</v>
      </c>
      <c r="W1" s="139">
        <v>22</v>
      </c>
      <c r="X1" s="139">
        <v>23</v>
      </c>
      <c r="Y1" s="139">
        <v>24</v>
      </c>
      <c r="Z1" s="139">
        <v>25</v>
      </c>
      <c r="AA1" s="139">
        <v>26</v>
      </c>
      <c r="AB1" s="139">
        <v>27</v>
      </c>
      <c r="AC1" s="139">
        <v>28</v>
      </c>
      <c r="AD1" s="139">
        <v>29</v>
      </c>
      <c r="AE1" s="139">
        <v>30</v>
      </c>
      <c r="AF1" s="140">
        <v>31</v>
      </c>
      <c r="AG1" t="s">
        <v>96</v>
      </c>
    </row>
    <row r="2" spans="1:35" ht="15.75">
      <c r="A2" s="134">
        <v>19371</v>
      </c>
      <c r="B2" s="135" t="s">
        <v>8</v>
      </c>
      <c r="C2" s="136" t="s">
        <v>8</v>
      </c>
      <c r="D2" s="136" t="s">
        <v>9</v>
      </c>
      <c r="E2" s="136" t="s">
        <v>9</v>
      </c>
      <c r="F2" s="136" t="s">
        <v>7</v>
      </c>
      <c r="G2" s="136" t="s">
        <v>7</v>
      </c>
      <c r="H2" s="136" t="s">
        <v>7</v>
      </c>
      <c r="I2" s="136" t="s">
        <v>7</v>
      </c>
      <c r="J2" s="136" t="s">
        <v>8</v>
      </c>
      <c r="K2" s="136" t="s">
        <v>8</v>
      </c>
      <c r="L2" s="136" t="s">
        <v>9</v>
      </c>
      <c r="M2" s="136" t="s">
        <v>9</v>
      </c>
      <c r="N2" s="136" t="s">
        <v>7</v>
      </c>
      <c r="O2" s="136" t="s">
        <v>7</v>
      </c>
      <c r="P2" s="136" t="s">
        <v>7</v>
      </c>
      <c r="Q2" s="136" t="s">
        <v>7</v>
      </c>
      <c r="R2" s="136" t="s">
        <v>8</v>
      </c>
      <c r="S2" s="136" t="s">
        <v>8</v>
      </c>
      <c r="T2" s="136" t="s">
        <v>9</v>
      </c>
      <c r="U2" s="136" t="s">
        <v>9</v>
      </c>
      <c r="V2" s="136" t="s">
        <v>7</v>
      </c>
      <c r="W2" s="136" t="s">
        <v>7</v>
      </c>
      <c r="X2" s="136" t="s">
        <v>7</v>
      </c>
      <c r="Y2" s="136" t="s">
        <v>7</v>
      </c>
      <c r="Z2" s="136" t="s">
        <v>8</v>
      </c>
      <c r="AA2" s="136" t="s">
        <v>8</v>
      </c>
      <c r="AB2" s="136" t="s">
        <v>9</v>
      </c>
      <c r="AC2" s="136" t="s">
        <v>9</v>
      </c>
      <c r="AD2" s="136" t="s">
        <v>7</v>
      </c>
      <c r="AE2" s="136" t="s">
        <v>7</v>
      </c>
      <c r="AF2" s="136" t="s">
        <v>7</v>
      </c>
      <c r="AG2">
        <f>COUNTIF(B2:AF2,"R")</f>
        <v>15</v>
      </c>
      <c r="AH2" s="125">
        <f>AG2*$T$21</f>
        <v>3.5294117647058822</v>
      </c>
      <c r="AI2">
        <v>3</v>
      </c>
    </row>
    <row r="3" spans="1:35" ht="15.75">
      <c r="A3" s="130">
        <v>40516</v>
      </c>
      <c r="B3" s="128" t="s">
        <v>8</v>
      </c>
      <c r="C3" s="126" t="s">
        <v>8</v>
      </c>
      <c r="D3" s="126" t="s">
        <v>9</v>
      </c>
      <c r="E3" s="126" t="s">
        <v>9</v>
      </c>
      <c r="F3" s="126" t="s">
        <v>7</v>
      </c>
      <c r="G3" s="126" t="s">
        <v>7</v>
      </c>
      <c r="H3" s="126" t="s">
        <v>7</v>
      </c>
      <c r="I3" s="126" t="s">
        <v>7</v>
      </c>
      <c r="J3" s="126" t="s">
        <v>8</v>
      </c>
      <c r="K3" s="126" t="s">
        <v>8</v>
      </c>
      <c r="L3" s="126" t="s">
        <v>9</v>
      </c>
      <c r="M3" s="126" t="s">
        <v>9</v>
      </c>
      <c r="N3" s="126" t="s">
        <v>7</v>
      </c>
      <c r="O3" s="126" t="s">
        <v>7</v>
      </c>
      <c r="P3" s="126" t="s">
        <v>7</v>
      </c>
      <c r="Q3" s="126" t="s">
        <v>7</v>
      </c>
      <c r="R3" s="126" t="s">
        <v>8</v>
      </c>
      <c r="S3" s="126" t="s">
        <v>8</v>
      </c>
      <c r="T3" s="126" t="s">
        <v>9</v>
      </c>
      <c r="U3" s="126" t="s">
        <v>9</v>
      </c>
      <c r="V3" s="126" t="s">
        <v>7</v>
      </c>
      <c r="W3" s="126" t="s">
        <v>7</v>
      </c>
      <c r="X3" s="126" t="s">
        <v>7</v>
      </c>
      <c r="Y3" s="126" t="s">
        <v>7</v>
      </c>
      <c r="Z3" s="126" t="s">
        <v>8</v>
      </c>
      <c r="AA3" s="126" t="s">
        <v>8</v>
      </c>
      <c r="AB3" s="126" t="s">
        <v>9</v>
      </c>
      <c r="AC3" s="126" t="s">
        <v>9</v>
      </c>
      <c r="AD3" s="126" t="s">
        <v>7</v>
      </c>
      <c r="AE3" s="126" t="s">
        <v>7</v>
      </c>
      <c r="AF3" s="126" t="s">
        <v>7</v>
      </c>
      <c r="AG3">
        <f t="shared" ref="AG3:AG13" si="0">COUNTIF(B3:AF3,"R")</f>
        <v>15</v>
      </c>
      <c r="AH3" s="125">
        <f t="shared" ref="AH3:AH13" si="1">AG3*$T$21</f>
        <v>3.5294117647058822</v>
      </c>
      <c r="AI3">
        <v>3</v>
      </c>
    </row>
    <row r="4" spans="1:35" ht="15.75">
      <c r="A4" s="130">
        <v>17983</v>
      </c>
      <c r="B4" s="128" t="s">
        <v>8</v>
      </c>
      <c r="C4" s="126" t="s">
        <v>8</v>
      </c>
      <c r="D4" s="126" t="s">
        <v>9</v>
      </c>
      <c r="E4" s="126" t="s">
        <v>9</v>
      </c>
      <c r="F4" s="126" t="s">
        <v>7</v>
      </c>
      <c r="G4" s="126" t="s">
        <v>7</v>
      </c>
      <c r="H4" s="126" t="s">
        <v>7</v>
      </c>
      <c r="I4" s="126" t="s">
        <v>7</v>
      </c>
      <c r="J4" s="126" t="s">
        <v>8</v>
      </c>
      <c r="K4" s="126" t="s">
        <v>8</v>
      </c>
      <c r="L4" s="126" t="s">
        <v>9</v>
      </c>
      <c r="M4" s="126" t="s">
        <v>9</v>
      </c>
      <c r="N4" s="126" t="s">
        <v>7</v>
      </c>
      <c r="O4" s="126" t="s">
        <v>7</v>
      </c>
      <c r="P4" s="126" t="s">
        <v>7</v>
      </c>
      <c r="Q4" s="126" t="s">
        <v>7</v>
      </c>
      <c r="R4" s="126" t="s">
        <v>10</v>
      </c>
      <c r="S4" s="126" t="s">
        <v>10</v>
      </c>
      <c r="T4" s="126" t="s">
        <v>10</v>
      </c>
      <c r="U4" s="126" t="s">
        <v>10</v>
      </c>
      <c r="V4" s="126" t="s">
        <v>10</v>
      </c>
      <c r="W4" s="126" t="s">
        <v>11</v>
      </c>
      <c r="X4" s="126" t="s">
        <v>11</v>
      </c>
      <c r="Y4" s="126" t="s">
        <v>10</v>
      </c>
      <c r="Z4" s="126" t="s">
        <v>10</v>
      </c>
      <c r="AA4" s="126" t="s">
        <v>10</v>
      </c>
      <c r="AB4" s="126" t="s">
        <v>10</v>
      </c>
      <c r="AC4" s="126" t="s">
        <v>10</v>
      </c>
      <c r="AD4" s="126" t="s">
        <v>11</v>
      </c>
      <c r="AE4" s="126" t="s">
        <v>11</v>
      </c>
      <c r="AF4" s="126" t="s">
        <v>10</v>
      </c>
      <c r="AG4">
        <f t="shared" si="0"/>
        <v>8</v>
      </c>
      <c r="AH4" s="125">
        <f t="shared" si="1"/>
        <v>1.8823529411764706</v>
      </c>
      <c r="AI4">
        <v>2</v>
      </c>
    </row>
    <row r="5" spans="1:35" ht="15.75">
      <c r="A5" s="130">
        <v>19575</v>
      </c>
      <c r="B5" s="128" t="s">
        <v>9</v>
      </c>
      <c r="C5" s="126" t="s">
        <v>9</v>
      </c>
      <c r="D5" s="126" t="s">
        <v>7</v>
      </c>
      <c r="E5" s="126" t="s">
        <v>7</v>
      </c>
      <c r="F5" s="126" t="s">
        <v>7</v>
      </c>
      <c r="G5" s="126" t="s">
        <v>7</v>
      </c>
      <c r="H5" s="126" t="s">
        <v>8</v>
      </c>
      <c r="I5" s="126" t="s">
        <v>8</v>
      </c>
      <c r="J5" s="126" t="s">
        <v>9</v>
      </c>
      <c r="K5" s="126" t="s">
        <v>9</v>
      </c>
      <c r="L5" s="126" t="s">
        <v>7</v>
      </c>
      <c r="M5" s="126" t="s">
        <v>7</v>
      </c>
      <c r="N5" s="126" t="s">
        <v>7</v>
      </c>
      <c r="O5" s="126" t="s">
        <v>7</v>
      </c>
      <c r="P5" s="126" t="s">
        <v>8</v>
      </c>
      <c r="Q5" s="126" t="s">
        <v>8</v>
      </c>
      <c r="R5" s="126" t="s">
        <v>9</v>
      </c>
      <c r="S5" s="126" t="s">
        <v>9</v>
      </c>
      <c r="T5" s="126" t="s">
        <v>7</v>
      </c>
      <c r="U5" s="126" t="s">
        <v>7</v>
      </c>
      <c r="V5" s="126" t="s">
        <v>7</v>
      </c>
      <c r="W5" s="126" t="s">
        <v>7</v>
      </c>
      <c r="X5" s="126" t="s">
        <v>8</v>
      </c>
      <c r="Y5" s="126" t="s">
        <v>8</v>
      </c>
      <c r="Z5" s="126" t="s">
        <v>9</v>
      </c>
      <c r="AA5" s="126" t="s">
        <v>9</v>
      </c>
      <c r="AB5" s="126" t="s">
        <v>7</v>
      </c>
      <c r="AC5" s="126" t="s">
        <v>7</v>
      </c>
      <c r="AD5" s="126" t="s">
        <v>7</v>
      </c>
      <c r="AE5" s="126" t="s">
        <v>7</v>
      </c>
      <c r="AF5" s="126" t="s">
        <v>8</v>
      </c>
      <c r="AG5">
        <f t="shared" si="0"/>
        <v>16</v>
      </c>
      <c r="AH5" s="125">
        <f t="shared" si="1"/>
        <v>3.7647058823529411</v>
      </c>
      <c r="AI5">
        <v>4</v>
      </c>
    </row>
    <row r="6" spans="1:35" ht="15.75">
      <c r="A6" s="130">
        <v>17826</v>
      </c>
      <c r="B6" s="128" t="s">
        <v>9</v>
      </c>
      <c r="C6" s="126" t="s">
        <v>9</v>
      </c>
      <c r="D6" s="126" t="s">
        <v>7</v>
      </c>
      <c r="E6" s="126" t="s">
        <v>7</v>
      </c>
      <c r="F6" s="126" t="s">
        <v>7</v>
      </c>
      <c r="G6" s="126" t="s">
        <v>7</v>
      </c>
      <c r="H6" s="126" t="s">
        <v>8</v>
      </c>
      <c r="I6" s="126" t="s">
        <v>8</v>
      </c>
      <c r="J6" s="126" t="s">
        <v>9</v>
      </c>
      <c r="K6" s="126" t="s">
        <v>9</v>
      </c>
      <c r="L6" s="126" t="s">
        <v>7</v>
      </c>
      <c r="M6" s="126" t="s">
        <v>7</v>
      </c>
      <c r="N6" s="126" t="s">
        <v>7</v>
      </c>
      <c r="O6" s="126" t="s">
        <v>7</v>
      </c>
      <c r="P6" s="126" t="s">
        <v>8</v>
      </c>
      <c r="Q6" s="126" t="s">
        <v>8</v>
      </c>
      <c r="R6" s="126" t="s">
        <v>9</v>
      </c>
      <c r="S6" s="126" t="s">
        <v>9</v>
      </c>
      <c r="T6" s="126" t="s">
        <v>7</v>
      </c>
      <c r="U6" s="126" t="s">
        <v>7</v>
      </c>
      <c r="V6" s="126" t="s">
        <v>7</v>
      </c>
      <c r="W6" s="126" t="s">
        <v>7</v>
      </c>
      <c r="X6" s="126" t="s">
        <v>10</v>
      </c>
      <c r="Y6" s="126" t="s">
        <v>10</v>
      </c>
      <c r="Z6" s="126" t="s">
        <v>10</v>
      </c>
      <c r="AA6" s="126" t="s">
        <v>10</v>
      </c>
      <c r="AB6" s="126" t="s">
        <v>11</v>
      </c>
      <c r="AC6" s="126" t="s">
        <v>11</v>
      </c>
      <c r="AD6" s="126" t="s">
        <v>10</v>
      </c>
      <c r="AE6" s="126" t="s">
        <v>10</v>
      </c>
      <c r="AF6" s="126" t="s">
        <v>10</v>
      </c>
      <c r="AG6">
        <f t="shared" si="0"/>
        <v>12</v>
      </c>
      <c r="AH6" s="125">
        <f t="shared" si="1"/>
        <v>2.8235294117647056</v>
      </c>
      <c r="AI6">
        <v>3</v>
      </c>
    </row>
    <row r="7" spans="1:35" ht="15.75">
      <c r="A7" s="130">
        <v>19612</v>
      </c>
      <c r="B7" s="128" t="s">
        <v>7</v>
      </c>
      <c r="C7" s="126" t="s">
        <v>7</v>
      </c>
      <c r="D7" s="126" t="s">
        <v>7</v>
      </c>
      <c r="E7" s="126" t="s">
        <v>7</v>
      </c>
      <c r="F7" s="126" t="s">
        <v>8</v>
      </c>
      <c r="G7" s="126" t="s">
        <v>8</v>
      </c>
      <c r="H7" s="126" t="s">
        <v>9</v>
      </c>
      <c r="I7" s="126" t="s">
        <v>9</v>
      </c>
      <c r="J7" s="126" t="s">
        <v>7</v>
      </c>
      <c r="K7" s="126" t="s">
        <v>7</v>
      </c>
      <c r="L7" s="126" t="s">
        <v>7</v>
      </c>
      <c r="M7" s="126" t="s">
        <v>7</v>
      </c>
      <c r="N7" s="126" t="s">
        <v>8</v>
      </c>
      <c r="O7" s="126" t="s">
        <v>8</v>
      </c>
      <c r="P7" s="126" t="s">
        <v>9</v>
      </c>
      <c r="Q7" s="126" t="s">
        <v>9</v>
      </c>
      <c r="R7" s="126" t="s">
        <v>7</v>
      </c>
      <c r="S7" s="126" t="s">
        <v>7</v>
      </c>
      <c r="T7" s="126" t="s">
        <v>7</v>
      </c>
      <c r="U7" s="126" t="s">
        <v>7</v>
      </c>
      <c r="V7" s="126" t="s">
        <v>8</v>
      </c>
      <c r="W7" s="126" t="s">
        <v>8</v>
      </c>
      <c r="X7" s="126" t="s">
        <v>9</v>
      </c>
      <c r="Y7" s="126" t="s">
        <v>9</v>
      </c>
      <c r="Z7" s="126" t="s">
        <v>7</v>
      </c>
      <c r="AA7" s="126" t="s">
        <v>7</v>
      </c>
      <c r="AB7" s="126" t="s">
        <v>7</v>
      </c>
      <c r="AC7" s="126" t="s">
        <v>7</v>
      </c>
      <c r="AD7" s="126" t="s">
        <v>8</v>
      </c>
      <c r="AE7" s="126" t="s">
        <v>8</v>
      </c>
      <c r="AF7" s="126" t="s">
        <v>9</v>
      </c>
      <c r="AG7">
        <f t="shared" si="0"/>
        <v>16</v>
      </c>
      <c r="AH7" s="125">
        <f t="shared" si="1"/>
        <v>3.7647058823529411</v>
      </c>
      <c r="AI7">
        <v>4</v>
      </c>
    </row>
    <row r="8" spans="1:35" ht="16.5" customHeight="1">
      <c r="A8" s="130">
        <v>21295</v>
      </c>
      <c r="B8" s="128" t="s">
        <v>11</v>
      </c>
      <c r="C8" s="126" t="s">
        <v>11</v>
      </c>
      <c r="D8" s="126" t="s">
        <v>10</v>
      </c>
      <c r="E8" s="126" t="s">
        <v>10</v>
      </c>
      <c r="F8" s="126" t="s">
        <v>10</v>
      </c>
      <c r="G8" s="126" t="s">
        <v>10</v>
      </c>
      <c r="H8" s="126" t="s">
        <v>10</v>
      </c>
      <c r="I8" s="126" t="s">
        <v>11</v>
      </c>
      <c r="J8" s="126" t="s">
        <v>11</v>
      </c>
      <c r="K8" s="126" t="s">
        <v>10</v>
      </c>
      <c r="L8" s="126" t="s">
        <v>10</v>
      </c>
      <c r="M8" s="126" t="s">
        <v>10</v>
      </c>
      <c r="N8" s="126" t="s">
        <v>10</v>
      </c>
      <c r="O8" s="126" t="s">
        <v>10</v>
      </c>
      <c r="P8" s="126" t="s">
        <v>11</v>
      </c>
      <c r="Q8" s="126" t="s">
        <v>11</v>
      </c>
      <c r="R8" s="126" t="s">
        <v>10</v>
      </c>
      <c r="S8" s="126" t="s">
        <v>10</v>
      </c>
      <c r="T8" s="126" t="s">
        <v>10</v>
      </c>
      <c r="U8" s="126" t="s">
        <v>10</v>
      </c>
      <c r="V8" s="126" t="s">
        <v>8</v>
      </c>
      <c r="W8" s="126" t="s">
        <v>8</v>
      </c>
      <c r="X8" s="126" t="s">
        <v>9</v>
      </c>
      <c r="Y8" s="126" t="s">
        <v>9</v>
      </c>
      <c r="Z8" s="126" t="s">
        <v>7</v>
      </c>
      <c r="AA8" s="126" t="s">
        <v>7</v>
      </c>
      <c r="AB8" s="126" t="s">
        <v>7</v>
      </c>
      <c r="AC8" s="126" t="s">
        <v>7</v>
      </c>
      <c r="AD8" s="126" t="s">
        <v>8</v>
      </c>
      <c r="AE8" s="126" t="s">
        <v>8</v>
      </c>
      <c r="AF8" s="126" t="s">
        <v>9</v>
      </c>
      <c r="AG8">
        <f t="shared" si="0"/>
        <v>4</v>
      </c>
      <c r="AH8" s="125">
        <f t="shared" si="1"/>
        <v>0.94117647058823528</v>
      </c>
      <c r="AI8">
        <v>1</v>
      </c>
    </row>
    <row r="9" spans="1:35" ht="15.75">
      <c r="A9" s="130">
        <v>19573</v>
      </c>
      <c r="B9" s="128" t="s">
        <v>7</v>
      </c>
      <c r="C9" s="126" t="s">
        <v>7</v>
      </c>
      <c r="D9" s="126" t="s">
        <v>8</v>
      </c>
      <c r="E9" s="126" t="s">
        <v>8</v>
      </c>
      <c r="F9" s="126" t="s">
        <v>9</v>
      </c>
      <c r="G9" s="126" t="s">
        <v>9</v>
      </c>
      <c r="H9" s="126" t="s">
        <v>7</v>
      </c>
      <c r="I9" s="126" t="s">
        <v>7</v>
      </c>
      <c r="J9" s="126" t="s">
        <v>7</v>
      </c>
      <c r="K9" s="126" t="s">
        <v>7</v>
      </c>
      <c r="L9" s="126" t="s">
        <v>8</v>
      </c>
      <c r="M9" s="126" t="s">
        <v>8</v>
      </c>
      <c r="N9" s="126" t="s">
        <v>9</v>
      </c>
      <c r="O9" s="126" t="s">
        <v>9</v>
      </c>
      <c r="P9" s="126" t="s">
        <v>7</v>
      </c>
      <c r="Q9" s="126" t="s">
        <v>7</v>
      </c>
      <c r="R9" s="126" t="s">
        <v>7</v>
      </c>
      <c r="S9" s="126" t="s">
        <v>7</v>
      </c>
      <c r="T9" s="126" t="s">
        <v>8</v>
      </c>
      <c r="U9" s="126" t="s">
        <v>8</v>
      </c>
      <c r="V9" s="126" t="s">
        <v>9</v>
      </c>
      <c r="W9" s="126" t="s">
        <v>9</v>
      </c>
      <c r="X9" s="126" t="s">
        <v>7</v>
      </c>
      <c r="Y9" s="126" t="s">
        <v>7</v>
      </c>
      <c r="Z9" s="126" t="s">
        <v>7</v>
      </c>
      <c r="AA9" s="126" t="s">
        <v>7</v>
      </c>
      <c r="AB9" s="126" t="s">
        <v>8</v>
      </c>
      <c r="AC9" s="126" t="s">
        <v>8</v>
      </c>
      <c r="AD9" s="126" t="s">
        <v>9</v>
      </c>
      <c r="AE9" s="126" t="s">
        <v>9</v>
      </c>
      <c r="AF9" s="126" t="s">
        <v>7</v>
      </c>
      <c r="AG9">
        <f t="shared" si="0"/>
        <v>15</v>
      </c>
      <c r="AH9" s="125">
        <f t="shared" si="1"/>
        <v>3.5294117647058822</v>
      </c>
      <c r="AI9">
        <v>3</v>
      </c>
    </row>
    <row r="10" spans="1:35" ht="15.75">
      <c r="A10" s="130">
        <v>18383</v>
      </c>
      <c r="B10" s="128" t="s">
        <v>7</v>
      </c>
      <c r="C10" s="126" t="s">
        <v>7</v>
      </c>
      <c r="D10" s="126" t="s">
        <v>8</v>
      </c>
      <c r="E10" s="126" t="s">
        <v>8</v>
      </c>
      <c r="F10" s="126" t="s">
        <v>9</v>
      </c>
      <c r="G10" s="126" t="s">
        <v>9</v>
      </c>
      <c r="H10" s="126" t="s">
        <v>7</v>
      </c>
      <c r="I10" s="126" t="s">
        <v>7</v>
      </c>
      <c r="J10" s="126" t="s">
        <v>7</v>
      </c>
      <c r="K10" s="126" t="s">
        <v>7</v>
      </c>
      <c r="L10" s="126" t="s">
        <v>8</v>
      </c>
      <c r="M10" s="126" t="s">
        <v>8</v>
      </c>
      <c r="N10" s="126" t="s">
        <v>9</v>
      </c>
      <c r="O10" s="126" t="s">
        <v>9</v>
      </c>
      <c r="P10" s="126" t="s">
        <v>7</v>
      </c>
      <c r="Q10" s="126" t="s">
        <v>7</v>
      </c>
      <c r="R10" s="126" t="s">
        <v>7</v>
      </c>
      <c r="S10" s="126" t="s">
        <v>7</v>
      </c>
      <c r="T10" s="126" t="s">
        <v>8</v>
      </c>
      <c r="U10" s="126" t="s">
        <v>8</v>
      </c>
      <c r="V10" s="126" t="s">
        <v>9</v>
      </c>
      <c r="W10" s="126" t="s">
        <v>9</v>
      </c>
      <c r="X10" s="126" t="s">
        <v>7</v>
      </c>
      <c r="Y10" s="126" t="s">
        <v>7</v>
      </c>
      <c r="Z10" s="126" t="s">
        <v>7</v>
      </c>
      <c r="AA10" s="126" t="s">
        <v>7</v>
      </c>
      <c r="AB10" s="126" t="s">
        <v>8</v>
      </c>
      <c r="AC10" s="127" t="s">
        <v>79</v>
      </c>
      <c r="AD10" s="126" t="s">
        <v>9</v>
      </c>
      <c r="AE10" s="126" t="s">
        <v>9</v>
      </c>
      <c r="AF10" s="126" t="s">
        <v>7</v>
      </c>
      <c r="AG10">
        <f t="shared" si="0"/>
        <v>15</v>
      </c>
      <c r="AH10" s="125">
        <f t="shared" si="1"/>
        <v>3.5294117647058822</v>
      </c>
      <c r="AI10">
        <v>3</v>
      </c>
    </row>
    <row r="11" spans="1:35" ht="15.75">
      <c r="A11" s="130">
        <v>24132</v>
      </c>
      <c r="B11" s="128" t="s">
        <v>11</v>
      </c>
      <c r="C11" s="126" t="s">
        <v>10</v>
      </c>
      <c r="D11" s="126" t="s">
        <v>10</v>
      </c>
      <c r="E11" s="126" t="s">
        <v>10</v>
      </c>
      <c r="F11" s="126" t="s">
        <v>10</v>
      </c>
      <c r="G11" s="126" t="s">
        <v>10</v>
      </c>
      <c r="H11" s="126" t="s">
        <v>11</v>
      </c>
      <c r="I11" s="126" t="s">
        <v>11</v>
      </c>
      <c r="J11" s="126" t="s">
        <v>10</v>
      </c>
      <c r="K11" s="126" t="s">
        <v>10</v>
      </c>
      <c r="L11" s="126" t="s">
        <v>10</v>
      </c>
      <c r="M11" s="126" t="s">
        <v>10</v>
      </c>
      <c r="N11" s="126" t="s">
        <v>10</v>
      </c>
      <c r="O11" s="126" t="s">
        <v>11</v>
      </c>
      <c r="P11" s="126" t="s">
        <v>11</v>
      </c>
      <c r="Q11" s="126" t="s">
        <v>10</v>
      </c>
      <c r="R11" s="126" t="s">
        <v>10</v>
      </c>
      <c r="S11" s="126" t="s">
        <v>10</v>
      </c>
      <c r="T11" s="126" t="s">
        <v>8</v>
      </c>
      <c r="U11" s="126" t="s">
        <v>8</v>
      </c>
      <c r="V11" s="126" t="s">
        <v>9</v>
      </c>
      <c r="W11" s="126" t="s">
        <v>9</v>
      </c>
      <c r="X11" s="126" t="s">
        <v>7</v>
      </c>
      <c r="Y11" s="126" t="s">
        <v>7</v>
      </c>
      <c r="Z11" s="126" t="s">
        <v>7</v>
      </c>
      <c r="AA11" s="126" t="s">
        <v>7</v>
      </c>
      <c r="AB11" s="126" t="s">
        <v>8</v>
      </c>
      <c r="AC11" s="126" t="s">
        <v>8</v>
      </c>
      <c r="AD11" s="126" t="s">
        <v>9</v>
      </c>
      <c r="AE11" s="126" t="s">
        <v>9</v>
      </c>
      <c r="AF11" s="126" t="s">
        <v>7</v>
      </c>
      <c r="AG11">
        <f t="shared" si="0"/>
        <v>5</v>
      </c>
      <c r="AH11" s="125">
        <f t="shared" si="1"/>
        <v>1.1764705882352942</v>
      </c>
      <c r="AI11">
        <v>1</v>
      </c>
    </row>
    <row r="12" spans="1:35" ht="15.75">
      <c r="A12" s="130">
        <v>18615</v>
      </c>
      <c r="B12" s="128" t="s">
        <v>7</v>
      </c>
      <c r="C12" s="126" t="s">
        <v>7</v>
      </c>
      <c r="D12" s="126" t="s">
        <v>7</v>
      </c>
      <c r="E12" s="126" t="s">
        <v>7</v>
      </c>
      <c r="F12" s="126" t="s">
        <v>8</v>
      </c>
      <c r="G12" s="126" t="s">
        <v>8</v>
      </c>
      <c r="H12" s="126" t="s">
        <v>9</v>
      </c>
      <c r="I12" s="126" t="s">
        <v>9</v>
      </c>
      <c r="J12" s="126" t="s">
        <v>7</v>
      </c>
      <c r="K12" s="126" t="s">
        <v>7</v>
      </c>
      <c r="L12" s="126" t="s">
        <v>7</v>
      </c>
      <c r="M12" s="126" t="s">
        <v>7</v>
      </c>
      <c r="N12" s="126" t="s">
        <v>8</v>
      </c>
      <c r="O12" s="126" t="s">
        <v>8</v>
      </c>
      <c r="P12" s="126" t="s">
        <v>9</v>
      </c>
      <c r="Q12" s="126" t="s">
        <v>9</v>
      </c>
      <c r="R12" s="126" t="s">
        <v>7</v>
      </c>
      <c r="S12" s="126" t="s">
        <v>7</v>
      </c>
      <c r="T12" s="126" t="s">
        <v>7</v>
      </c>
      <c r="U12" s="126" t="s">
        <v>7</v>
      </c>
      <c r="V12" s="126" t="s">
        <v>8</v>
      </c>
      <c r="W12" s="126" t="s">
        <v>8</v>
      </c>
      <c r="X12" s="126" t="s">
        <v>9</v>
      </c>
      <c r="Y12" s="126" t="s">
        <v>9</v>
      </c>
      <c r="Z12" s="126" t="s">
        <v>7</v>
      </c>
      <c r="AA12" s="126" t="s">
        <v>7</v>
      </c>
      <c r="AB12" s="126" t="s">
        <v>7</v>
      </c>
      <c r="AC12" s="126" t="s">
        <v>7</v>
      </c>
      <c r="AD12" s="126" t="s">
        <v>8</v>
      </c>
      <c r="AE12" s="126" t="s">
        <v>8</v>
      </c>
      <c r="AF12" s="126" t="s">
        <v>9</v>
      </c>
      <c r="AG12">
        <f t="shared" si="0"/>
        <v>16</v>
      </c>
      <c r="AH12" s="125">
        <f t="shared" si="1"/>
        <v>3.7647058823529411</v>
      </c>
      <c r="AI12">
        <v>4</v>
      </c>
    </row>
    <row r="13" spans="1:35" ht="15.75">
      <c r="A13" s="130">
        <v>17997</v>
      </c>
      <c r="B13" s="128" t="s">
        <v>9</v>
      </c>
      <c r="C13" s="126" t="s">
        <v>9</v>
      </c>
      <c r="D13" s="126" t="s">
        <v>7</v>
      </c>
      <c r="E13" s="126" t="s">
        <v>7</v>
      </c>
      <c r="F13" s="126" t="s">
        <v>7</v>
      </c>
      <c r="G13" s="126" t="s">
        <v>7</v>
      </c>
      <c r="H13" s="126" t="s">
        <v>8</v>
      </c>
      <c r="I13" s="126" t="s">
        <v>8</v>
      </c>
      <c r="J13" s="126" t="s">
        <v>9</v>
      </c>
      <c r="K13" s="126" t="s">
        <v>9</v>
      </c>
      <c r="L13" s="126" t="s">
        <v>7</v>
      </c>
      <c r="M13" s="126" t="s">
        <v>7</v>
      </c>
      <c r="N13" s="126" t="s">
        <v>7</v>
      </c>
      <c r="O13" s="126" t="s">
        <v>7</v>
      </c>
      <c r="P13" s="126" t="s">
        <v>8</v>
      </c>
      <c r="Q13" s="126" t="s">
        <v>8</v>
      </c>
      <c r="R13" s="126" t="s">
        <v>9</v>
      </c>
      <c r="S13" s="126" t="s">
        <v>9</v>
      </c>
      <c r="T13" s="126" t="s">
        <v>7</v>
      </c>
      <c r="U13" s="126" t="s">
        <v>7</v>
      </c>
      <c r="V13" s="126" t="s">
        <v>7</v>
      </c>
      <c r="W13" s="126" t="s">
        <v>7</v>
      </c>
      <c r="X13" s="126" t="s">
        <v>8</v>
      </c>
      <c r="Y13" s="126" t="s">
        <v>8</v>
      </c>
      <c r="Z13" s="126" t="s">
        <v>9</v>
      </c>
      <c r="AA13" s="126" t="s">
        <v>9</v>
      </c>
      <c r="AB13" s="126" t="s">
        <v>7</v>
      </c>
      <c r="AC13" s="126" t="s">
        <v>7</v>
      </c>
      <c r="AD13" s="126" t="s">
        <v>7</v>
      </c>
      <c r="AE13" s="126" t="s">
        <v>7</v>
      </c>
      <c r="AF13" s="126" t="s">
        <v>8</v>
      </c>
      <c r="AG13">
        <f t="shared" si="0"/>
        <v>16</v>
      </c>
      <c r="AH13" s="125">
        <f t="shared" si="1"/>
        <v>3.7647058823529411</v>
      </c>
      <c r="AI13">
        <v>4</v>
      </c>
    </row>
    <row r="14" spans="1:35">
      <c r="A14" s="131" t="s">
        <v>8</v>
      </c>
      <c r="B14" s="129">
        <f t="shared" ref="B14:H14" si="2">COUNTIF(B2:B13,"D")+COUNTIF(B2:B13,"R/D")</f>
        <v>3</v>
      </c>
      <c r="C14" s="44">
        <f t="shared" si="2"/>
        <v>3</v>
      </c>
      <c r="D14" s="44">
        <f t="shared" si="2"/>
        <v>2</v>
      </c>
      <c r="E14" s="44">
        <f t="shared" si="2"/>
        <v>2</v>
      </c>
      <c r="F14" s="44">
        <f t="shared" si="2"/>
        <v>2</v>
      </c>
      <c r="G14" s="44">
        <f t="shared" si="2"/>
        <v>2</v>
      </c>
      <c r="H14" s="44">
        <f t="shared" si="2"/>
        <v>3</v>
      </c>
      <c r="I14" s="44">
        <f t="shared" ref="I14:AF14" si="3">COUNTIF(I2:I13,"D")+COUNTIF(I2:I13,"R/D")</f>
        <v>3</v>
      </c>
      <c r="J14" s="44">
        <f t="shared" si="3"/>
        <v>3</v>
      </c>
      <c r="K14" s="44">
        <f t="shared" si="3"/>
        <v>3</v>
      </c>
      <c r="L14" s="44">
        <f t="shared" si="3"/>
        <v>2</v>
      </c>
      <c r="M14" s="44">
        <f t="shared" si="3"/>
        <v>2</v>
      </c>
      <c r="N14" s="44">
        <f>COUNTIF(N2:N13,"D")+COUNTIF(N2:N13,"R/D")</f>
        <v>2</v>
      </c>
      <c r="O14" s="44">
        <f t="shared" si="3"/>
        <v>2</v>
      </c>
      <c r="P14" s="44">
        <f t="shared" si="3"/>
        <v>3</v>
      </c>
      <c r="Q14" s="44">
        <f t="shared" si="3"/>
        <v>3</v>
      </c>
      <c r="R14" s="44">
        <f t="shared" si="3"/>
        <v>2</v>
      </c>
      <c r="S14" s="44">
        <f t="shared" si="3"/>
        <v>2</v>
      </c>
      <c r="T14" s="44">
        <f t="shared" si="3"/>
        <v>3</v>
      </c>
      <c r="U14" s="44">
        <f t="shared" si="3"/>
        <v>3</v>
      </c>
      <c r="V14" s="44">
        <f t="shared" si="3"/>
        <v>3</v>
      </c>
      <c r="W14" s="44">
        <f t="shared" si="3"/>
        <v>3</v>
      </c>
      <c r="X14" s="44">
        <f t="shared" si="3"/>
        <v>2</v>
      </c>
      <c r="Y14" s="44">
        <f t="shared" si="3"/>
        <v>2</v>
      </c>
      <c r="Z14" s="44">
        <f t="shared" si="3"/>
        <v>2</v>
      </c>
      <c r="AA14" s="44">
        <f t="shared" si="3"/>
        <v>2</v>
      </c>
      <c r="AB14" s="44">
        <f t="shared" si="3"/>
        <v>3</v>
      </c>
      <c r="AC14" s="44">
        <f t="shared" si="3"/>
        <v>2</v>
      </c>
      <c r="AD14" s="44">
        <f t="shared" si="3"/>
        <v>3</v>
      </c>
      <c r="AE14" s="44">
        <f t="shared" si="3"/>
        <v>3</v>
      </c>
      <c r="AF14" s="44">
        <f t="shared" si="3"/>
        <v>2</v>
      </c>
      <c r="AG14" s="189">
        <f>SUM(AG2:AG13)</f>
        <v>153</v>
      </c>
      <c r="AH14" s="125">
        <f>SUM(AH2:AH13)</f>
        <v>36</v>
      </c>
      <c r="AI14" s="190">
        <f>SUM(AI2:AI13)</f>
        <v>35</v>
      </c>
    </row>
    <row r="15" spans="1:35">
      <c r="A15" s="132" t="s">
        <v>9</v>
      </c>
      <c r="B15" s="129">
        <f t="shared" ref="B15:H15" si="4">COUNTIF(B2:B13,"N")+COUNTIF(B2:B13,"R/N")</f>
        <v>3</v>
      </c>
      <c r="C15" s="44">
        <f t="shared" si="4"/>
        <v>3</v>
      </c>
      <c r="D15" s="44">
        <f t="shared" si="4"/>
        <v>3</v>
      </c>
      <c r="E15" s="44">
        <f t="shared" si="4"/>
        <v>3</v>
      </c>
      <c r="F15" s="44">
        <f t="shared" si="4"/>
        <v>2</v>
      </c>
      <c r="G15" s="44">
        <f t="shared" si="4"/>
        <v>2</v>
      </c>
      <c r="H15" s="44">
        <f t="shared" si="4"/>
        <v>2</v>
      </c>
      <c r="I15" s="44">
        <f t="shared" ref="I15:AF15" si="5">COUNTIF(I2:I13,"N")+COUNTIF(I2:I13,"R/N")</f>
        <v>2</v>
      </c>
      <c r="J15" s="44">
        <f t="shared" si="5"/>
        <v>3</v>
      </c>
      <c r="K15" s="44">
        <f t="shared" si="5"/>
        <v>3</v>
      </c>
      <c r="L15" s="44">
        <f t="shared" si="5"/>
        <v>3</v>
      </c>
      <c r="M15" s="44">
        <f t="shared" si="5"/>
        <v>3</v>
      </c>
      <c r="N15" s="44">
        <f t="shared" si="5"/>
        <v>2</v>
      </c>
      <c r="O15" s="44">
        <f t="shared" si="5"/>
        <v>2</v>
      </c>
      <c r="P15" s="44">
        <f t="shared" si="5"/>
        <v>2</v>
      </c>
      <c r="Q15" s="44">
        <f t="shared" si="5"/>
        <v>2</v>
      </c>
      <c r="R15" s="44">
        <f t="shared" si="5"/>
        <v>3</v>
      </c>
      <c r="S15" s="44">
        <f t="shared" si="5"/>
        <v>3</v>
      </c>
      <c r="T15" s="44">
        <f t="shared" si="5"/>
        <v>2</v>
      </c>
      <c r="U15" s="44">
        <f t="shared" si="5"/>
        <v>2</v>
      </c>
      <c r="V15" s="44">
        <f t="shared" si="5"/>
        <v>3</v>
      </c>
      <c r="W15" s="44">
        <f t="shared" si="5"/>
        <v>3</v>
      </c>
      <c r="X15" s="44">
        <f t="shared" si="5"/>
        <v>3</v>
      </c>
      <c r="Y15" s="44">
        <f t="shared" si="5"/>
        <v>3</v>
      </c>
      <c r="Z15" s="44">
        <f t="shared" si="5"/>
        <v>2</v>
      </c>
      <c r="AA15" s="44">
        <f t="shared" si="5"/>
        <v>2</v>
      </c>
      <c r="AB15" s="44">
        <f t="shared" si="5"/>
        <v>2</v>
      </c>
      <c r="AC15" s="44">
        <f t="shared" si="5"/>
        <v>2</v>
      </c>
      <c r="AD15" s="44">
        <f t="shared" si="5"/>
        <v>3</v>
      </c>
      <c r="AE15" s="44">
        <f t="shared" si="5"/>
        <v>3</v>
      </c>
      <c r="AF15" s="44">
        <f t="shared" si="5"/>
        <v>3</v>
      </c>
    </row>
    <row r="16" spans="1:35" ht="15.75" thickBot="1">
      <c r="A16" s="133" t="s">
        <v>7</v>
      </c>
      <c r="B16" s="129">
        <f t="shared" ref="B16:H16" si="6">COUNTIF(B2:B13,"R")</f>
        <v>4</v>
      </c>
      <c r="C16" s="44">
        <f t="shared" si="6"/>
        <v>4</v>
      </c>
      <c r="D16" s="44">
        <f t="shared" si="6"/>
        <v>5</v>
      </c>
      <c r="E16" s="44">
        <f t="shared" si="6"/>
        <v>5</v>
      </c>
      <c r="F16" s="44">
        <f t="shared" si="6"/>
        <v>6</v>
      </c>
      <c r="G16" s="44">
        <f t="shared" si="6"/>
        <v>6</v>
      </c>
      <c r="H16" s="44">
        <f t="shared" si="6"/>
        <v>5</v>
      </c>
      <c r="I16" s="44">
        <f t="shared" ref="I16:AF16" si="7">COUNTIF(I2:I13,"R")</f>
        <v>5</v>
      </c>
      <c r="J16" s="44">
        <f t="shared" si="7"/>
        <v>4</v>
      </c>
      <c r="K16" s="44">
        <f t="shared" si="7"/>
        <v>4</v>
      </c>
      <c r="L16" s="44">
        <f t="shared" si="7"/>
        <v>5</v>
      </c>
      <c r="M16" s="44">
        <f t="shared" si="7"/>
        <v>5</v>
      </c>
      <c r="N16" s="44">
        <f t="shared" si="7"/>
        <v>6</v>
      </c>
      <c r="O16" s="44">
        <f t="shared" si="7"/>
        <v>6</v>
      </c>
      <c r="P16" s="44">
        <f t="shared" si="7"/>
        <v>5</v>
      </c>
      <c r="Q16" s="44">
        <f t="shared" si="7"/>
        <v>5</v>
      </c>
      <c r="R16" s="44">
        <f t="shared" si="7"/>
        <v>4</v>
      </c>
      <c r="S16" s="44">
        <f t="shared" si="7"/>
        <v>4</v>
      </c>
      <c r="T16" s="44">
        <f t="shared" si="7"/>
        <v>5</v>
      </c>
      <c r="U16" s="44">
        <f t="shared" si="7"/>
        <v>5</v>
      </c>
      <c r="V16" s="44">
        <f t="shared" si="7"/>
        <v>5</v>
      </c>
      <c r="W16" s="44">
        <f t="shared" si="7"/>
        <v>5</v>
      </c>
      <c r="X16" s="44">
        <f t="shared" si="7"/>
        <v>5</v>
      </c>
      <c r="Y16" s="44">
        <f t="shared" si="7"/>
        <v>5</v>
      </c>
      <c r="Z16" s="44">
        <f t="shared" si="7"/>
        <v>6</v>
      </c>
      <c r="AA16" s="44">
        <f t="shared" si="7"/>
        <v>6</v>
      </c>
      <c r="AB16" s="44">
        <f t="shared" si="7"/>
        <v>5</v>
      </c>
      <c r="AC16" s="44">
        <f t="shared" si="7"/>
        <v>5</v>
      </c>
      <c r="AD16" s="44">
        <f t="shared" si="7"/>
        <v>4</v>
      </c>
      <c r="AE16" s="44">
        <f t="shared" si="7"/>
        <v>4</v>
      </c>
      <c r="AF16" s="44">
        <f t="shared" si="7"/>
        <v>5</v>
      </c>
    </row>
    <row r="20" spans="20:20">
      <c r="T20">
        <v>36</v>
      </c>
    </row>
    <row r="21" spans="20:20">
      <c r="T21">
        <f>T20/AG14</f>
        <v>0.23529411764705882</v>
      </c>
    </row>
  </sheetData>
  <conditionalFormatting sqref="B2:AF13">
    <cfRule type="cellIs" dxfId="33" priority="1" operator="equal">
      <formula>"R/N"</formula>
    </cfRule>
    <cfRule type="cellIs" dxfId="32" priority="2" operator="equal">
      <formula>"R/D"</formula>
    </cfRule>
    <cfRule type="cellIs" dxfId="31" priority="3" operator="equal">
      <formula>"L/R"</formula>
    </cfRule>
    <cfRule type="cellIs" dxfId="30" priority="4" operator="equal">
      <formula>"L"</formula>
    </cfRule>
    <cfRule type="cellIs" dxfId="29" priority="5" operator="equal">
      <formula>"R"</formula>
    </cfRule>
  </conditionalFormatting>
  <conditionalFormatting sqref="B14:AF15 AG14">
    <cfRule type="cellIs" dxfId="28" priority="11" operator="lessThan">
      <formula>3</formula>
    </cfRule>
    <cfRule type="cellIs" dxfId="27" priority="12" operator="greaterThan">
      <formula>3</formula>
    </cfRule>
    <cfRule type="cellIs" dxfId="26" priority="16" operator="lessThan">
      <formula>2</formula>
    </cfRule>
    <cfRule type="cellIs" dxfId="25" priority="17" operator="lessThan">
      <formula>1</formula>
    </cfRule>
    <cfRule type="cellIs" dxfId="24" priority="18" operator="lessThan">
      <formula>2</formula>
    </cfRule>
  </conditionalFormatting>
  <conditionalFormatting sqref="B16:AF16">
    <cfRule type="cellIs" dxfId="23" priority="13" operator="lessThan">
      <formula>4</formula>
    </cfRule>
    <cfRule type="cellIs" dxfId="22" priority="14" operator="lessThan">
      <formula>1</formula>
    </cfRule>
    <cfRule type="cellIs" dxfId="21" priority="15" operator="lessThan">
      <formula>2</formula>
    </cfRule>
  </conditionalFormatting>
  <pageMargins left="0.7" right="0.7" top="0.75" bottom="0.75" header="0.3" footer="0.3"/>
  <pageSetup orientation="portrait" r:id="rId1"/>
  <headerFooter>
    <oddHeader>&amp;L&amp;"Calibri"&amp;10&amp;K000000CLASSIFICATION: C1 - CONTROLLED&amp;1#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87E9E-82A5-4E54-B6DA-5F5F3107280A}">
  <sheetPr codeName="Sheet3"/>
  <dimension ref="B2:AR44"/>
  <sheetViews>
    <sheetView topLeftCell="A3" zoomScale="90" zoomScaleNormal="90" workbookViewId="0">
      <selection activeCell="AJ44" sqref="AJ44"/>
    </sheetView>
  </sheetViews>
  <sheetFormatPr defaultColWidth="6" defaultRowHeight="15"/>
  <cols>
    <col min="2" max="2" width="7.5703125" customWidth="1"/>
    <col min="3" max="3" width="24" bestFit="1" customWidth="1"/>
    <col min="4" max="4" width="8.7109375" customWidth="1"/>
    <col min="40" max="40" width="10.5703125" bestFit="1" customWidth="1"/>
    <col min="41" max="41" width="14.28515625" bestFit="1" customWidth="1"/>
    <col min="42" max="42" width="34.28515625" bestFit="1" customWidth="1"/>
    <col min="43" max="43" width="9" bestFit="1" customWidth="1"/>
    <col min="44" max="44" width="13.85546875" bestFit="1" customWidth="1"/>
  </cols>
  <sheetData>
    <row r="2" spans="2:44" ht="15.75" thickBot="1"/>
    <row r="3" spans="2:44" ht="19.5" thickBot="1">
      <c r="B3" s="158" t="s">
        <v>12</v>
      </c>
      <c r="C3" s="159"/>
      <c r="D3" s="160"/>
      <c r="E3" s="183" t="s">
        <v>75</v>
      </c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  <c r="Z3" s="184"/>
      <c r="AA3" s="184"/>
      <c r="AB3" s="184"/>
      <c r="AC3" s="184"/>
      <c r="AD3" s="184"/>
      <c r="AE3" s="184"/>
      <c r="AF3" s="184"/>
      <c r="AG3" s="184"/>
      <c r="AH3" s="185"/>
      <c r="AI3" s="121"/>
      <c r="AJ3" s="121"/>
      <c r="AK3" s="121"/>
      <c r="AL3" s="121"/>
    </row>
    <row r="4" spans="2:44" ht="15.75" thickBot="1">
      <c r="B4" s="161" t="s">
        <v>13</v>
      </c>
      <c r="C4" s="162"/>
      <c r="D4" s="162"/>
      <c r="E4" s="38" t="s">
        <v>6</v>
      </c>
      <c r="F4" s="39" t="s">
        <v>0</v>
      </c>
      <c r="G4" s="39" t="s">
        <v>1</v>
      </c>
      <c r="H4" s="39" t="s">
        <v>2</v>
      </c>
      <c r="I4" s="39" t="s">
        <v>3</v>
      </c>
      <c r="J4" s="39" t="s">
        <v>4</v>
      </c>
      <c r="K4" s="39" t="s">
        <v>5</v>
      </c>
      <c r="L4" s="39" t="s">
        <v>6</v>
      </c>
      <c r="M4" s="39" t="s">
        <v>0</v>
      </c>
      <c r="N4" s="39" t="s">
        <v>1</v>
      </c>
      <c r="O4" s="39" t="s">
        <v>2</v>
      </c>
      <c r="P4" s="39" t="s">
        <v>3</v>
      </c>
      <c r="Q4" s="39" t="s">
        <v>4</v>
      </c>
      <c r="R4" s="39" t="s">
        <v>5</v>
      </c>
      <c r="S4" s="39" t="s">
        <v>6</v>
      </c>
      <c r="T4" s="39" t="s">
        <v>0</v>
      </c>
      <c r="U4" s="39" t="s">
        <v>1</v>
      </c>
      <c r="V4" s="39" t="s">
        <v>2</v>
      </c>
      <c r="W4" s="39" t="s">
        <v>3</v>
      </c>
      <c r="X4" s="39" t="s">
        <v>4</v>
      </c>
      <c r="Y4" s="39" t="s">
        <v>5</v>
      </c>
      <c r="Z4" s="39" t="s">
        <v>6</v>
      </c>
      <c r="AA4" s="39" t="s">
        <v>0</v>
      </c>
      <c r="AB4" s="39" t="s">
        <v>1</v>
      </c>
      <c r="AC4" s="39" t="s">
        <v>2</v>
      </c>
      <c r="AD4" s="39" t="s">
        <v>3</v>
      </c>
      <c r="AE4" s="39" t="s">
        <v>4</v>
      </c>
      <c r="AF4" s="39" t="s">
        <v>5</v>
      </c>
      <c r="AG4" s="39" t="s">
        <v>6</v>
      </c>
      <c r="AH4" s="40" t="s">
        <v>0</v>
      </c>
      <c r="AI4" s="122"/>
      <c r="AJ4" s="122"/>
      <c r="AK4" s="122"/>
      <c r="AL4" s="122"/>
    </row>
    <row r="5" spans="2:44" ht="15.75" thickBot="1">
      <c r="B5" s="34" t="s">
        <v>14</v>
      </c>
      <c r="C5" s="35" t="s">
        <v>15</v>
      </c>
      <c r="D5" s="36" t="s">
        <v>16</v>
      </c>
      <c r="E5" s="115">
        <v>45597</v>
      </c>
      <c r="F5" s="116">
        <v>45598</v>
      </c>
      <c r="G5" s="116">
        <v>45599</v>
      </c>
      <c r="H5" s="116">
        <v>45600</v>
      </c>
      <c r="I5" s="116">
        <v>45601</v>
      </c>
      <c r="J5" s="116">
        <v>45602</v>
      </c>
      <c r="K5" s="116">
        <v>45603</v>
      </c>
      <c r="L5" s="116">
        <v>45604</v>
      </c>
      <c r="M5" s="116">
        <v>45605</v>
      </c>
      <c r="N5" s="116">
        <v>45606</v>
      </c>
      <c r="O5" s="116">
        <v>45607</v>
      </c>
      <c r="P5" s="116">
        <v>45608</v>
      </c>
      <c r="Q5" s="116">
        <v>45609</v>
      </c>
      <c r="R5" s="116">
        <v>45610</v>
      </c>
      <c r="S5" s="116">
        <v>45611</v>
      </c>
      <c r="T5" s="116">
        <v>45612</v>
      </c>
      <c r="U5" s="116">
        <v>45613</v>
      </c>
      <c r="V5" s="116">
        <v>45614</v>
      </c>
      <c r="W5" s="116">
        <v>45615</v>
      </c>
      <c r="X5" s="116">
        <v>45616</v>
      </c>
      <c r="Y5" s="116">
        <v>45617</v>
      </c>
      <c r="Z5" s="116">
        <v>45618</v>
      </c>
      <c r="AA5" s="116">
        <v>45619</v>
      </c>
      <c r="AB5" s="116">
        <v>45620</v>
      </c>
      <c r="AC5" s="116">
        <v>45621</v>
      </c>
      <c r="AD5" s="116">
        <v>45622</v>
      </c>
      <c r="AE5" s="116">
        <v>45623</v>
      </c>
      <c r="AF5" s="116">
        <v>45624</v>
      </c>
      <c r="AG5" s="116">
        <v>45625</v>
      </c>
      <c r="AH5" s="117">
        <v>45626</v>
      </c>
      <c r="AI5" s="123" t="s">
        <v>92</v>
      </c>
      <c r="AJ5" s="123" t="s">
        <v>93</v>
      </c>
      <c r="AK5" s="123" t="s">
        <v>95</v>
      </c>
      <c r="AL5" s="123" t="s">
        <v>94</v>
      </c>
    </row>
    <row r="6" spans="2:44" ht="16.5" thickBot="1">
      <c r="B6" s="163" t="s">
        <v>17</v>
      </c>
      <c r="C6" s="15" t="s">
        <v>18</v>
      </c>
      <c r="D6" s="57">
        <v>19371</v>
      </c>
      <c r="E6" s="108" t="s">
        <v>7</v>
      </c>
      <c r="F6" s="109" t="s">
        <v>10</v>
      </c>
      <c r="G6" s="109" t="s">
        <v>10</v>
      </c>
      <c r="H6" s="110" t="s">
        <v>9</v>
      </c>
      <c r="I6" s="110" t="s">
        <v>9</v>
      </c>
      <c r="J6" s="111" t="s">
        <v>33</v>
      </c>
      <c r="K6" s="112" t="s">
        <v>7</v>
      </c>
      <c r="L6" s="112" t="s">
        <v>7</v>
      </c>
      <c r="M6" s="112" t="s">
        <v>7</v>
      </c>
      <c r="N6" s="110" t="s">
        <v>8</v>
      </c>
      <c r="O6" s="110" t="s">
        <v>8</v>
      </c>
      <c r="P6" s="110" t="s">
        <v>9</v>
      </c>
      <c r="Q6" s="110" t="s">
        <v>9</v>
      </c>
      <c r="R6" s="112" t="s">
        <v>7</v>
      </c>
      <c r="S6" s="112" t="s">
        <v>7</v>
      </c>
      <c r="T6" s="112" t="s">
        <v>7</v>
      </c>
      <c r="U6" s="112" t="s">
        <v>7</v>
      </c>
      <c r="V6" s="109" t="s">
        <v>10</v>
      </c>
      <c r="W6" s="109" t="s">
        <v>10</v>
      </c>
      <c r="X6" s="109" t="s">
        <v>10</v>
      </c>
      <c r="Y6" s="109" t="s">
        <v>10</v>
      </c>
      <c r="Z6" s="109" t="s">
        <v>10</v>
      </c>
      <c r="AA6" s="113" t="s">
        <v>11</v>
      </c>
      <c r="AB6" s="113" t="s">
        <v>11</v>
      </c>
      <c r="AC6" s="109" t="s">
        <v>10</v>
      </c>
      <c r="AD6" s="109" t="s">
        <v>10</v>
      </c>
      <c r="AE6" s="110" t="s">
        <v>8</v>
      </c>
      <c r="AF6" s="110" t="s">
        <v>9</v>
      </c>
      <c r="AG6" s="110" t="s">
        <v>9</v>
      </c>
      <c r="AH6" s="114" t="s">
        <v>7</v>
      </c>
      <c r="AI6" s="124">
        <v>4</v>
      </c>
      <c r="AJ6" s="124" cm="1">
        <f t="array" ref="AJ6">SUM(COUNTIF(E6:AH6,{"R/D","R/N"}))</f>
        <v>1</v>
      </c>
      <c r="AK6" s="124">
        <v>0</v>
      </c>
      <c r="AL6" s="124">
        <f>AI6+AJ6*12+AK6*8</f>
        <v>16</v>
      </c>
    </row>
    <row r="7" spans="2:44" ht="15.75">
      <c r="B7" s="164"/>
      <c r="C7" s="16" t="s">
        <v>19</v>
      </c>
      <c r="D7" s="50">
        <v>40516</v>
      </c>
      <c r="E7" s="4" t="s">
        <v>7</v>
      </c>
      <c r="F7" s="6" t="s">
        <v>8</v>
      </c>
      <c r="G7" s="6" t="s">
        <v>8</v>
      </c>
      <c r="H7" s="6" t="s">
        <v>9</v>
      </c>
      <c r="I7" s="6" t="s">
        <v>9</v>
      </c>
      <c r="J7" s="5" t="s">
        <v>7</v>
      </c>
      <c r="K7" s="5" t="s">
        <v>7</v>
      </c>
      <c r="L7" s="5" t="s">
        <v>7</v>
      </c>
      <c r="M7" s="5" t="s">
        <v>7</v>
      </c>
      <c r="N7" s="6" t="s">
        <v>8</v>
      </c>
      <c r="O7" s="78" t="s">
        <v>77</v>
      </c>
      <c r="P7" s="78" t="s">
        <v>77</v>
      </c>
      <c r="Q7" s="6" t="s">
        <v>9</v>
      </c>
      <c r="R7" s="5" t="s">
        <v>7</v>
      </c>
      <c r="S7" s="5" t="s">
        <v>7</v>
      </c>
      <c r="T7" s="5" t="s">
        <v>7</v>
      </c>
      <c r="U7" s="5" t="s">
        <v>7</v>
      </c>
      <c r="V7" s="6" t="s">
        <v>8</v>
      </c>
      <c r="W7" s="6" t="s">
        <v>8</v>
      </c>
      <c r="X7" s="6" t="s">
        <v>9</v>
      </c>
      <c r="Y7" s="6" t="s">
        <v>9</v>
      </c>
      <c r="Z7" s="5" t="s">
        <v>7</v>
      </c>
      <c r="AA7" s="5" t="s">
        <v>7</v>
      </c>
      <c r="AB7" s="5" t="s">
        <v>7</v>
      </c>
      <c r="AC7" s="5" t="s">
        <v>7</v>
      </c>
      <c r="AD7" s="12" t="s">
        <v>10</v>
      </c>
      <c r="AE7" s="12" t="s">
        <v>10</v>
      </c>
      <c r="AF7" s="12" t="s">
        <v>10</v>
      </c>
      <c r="AG7" s="12" t="s">
        <v>10</v>
      </c>
      <c r="AH7" s="99" t="s">
        <v>10</v>
      </c>
      <c r="AI7" s="124">
        <v>6</v>
      </c>
      <c r="AJ7" s="124" cm="1">
        <f t="array" ref="AJ7">SUM(COUNTIF(E7:AH7,{"R/D","R/N"}))</f>
        <v>0</v>
      </c>
      <c r="AK7" s="124">
        <v>0</v>
      </c>
      <c r="AL7" s="124">
        <f t="shared" ref="AL7:AL18" si="0">AI7+AJ7*12+AK7*8</f>
        <v>6</v>
      </c>
      <c r="AN7" s="141" t="s">
        <v>78</v>
      </c>
      <c r="AO7" s="142"/>
      <c r="AP7" s="142"/>
      <c r="AQ7" s="142"/>
      <c r="AR7" s="143"/>
    </row>
    <row r="8" spans="2:44" ht="16.5" thickBot="1">
      <c r="B8" s="164"/>
      <c r="C8" s="17" t="s">
        <v>20</v>
      </c>
      <c r="D8" s="49">
        <v>17983</v>
      </c>
      <c r="E8" s="98" t="s">
        <v>7</v>
      </c>
      <c r="F8" s="82" t="s">
        <v>8</v>
      </c>
      <c r="G8" s="82" t="s">
        <v>8</v>
      </c>
      <c r="H8" s="82" t="s">
        <v>9</v>
      </c>
      <c r="I8" s="101" t="s">
        <v>10</v>
      </c>
      <c r="J8" s="83" t="s">
        <v>7</v>
      </c>
      <c r="K8" s="106" t="s">
        <v>33</v>
      </c>
      <c r="L8" s="83" t="s">
        <v>7</v>
      </c>
      <c r="M8" s="83" t="s">
        <v>7</v>
      </c>
      <c r="N8" s="118" t="s">
        <v>79</v>
      </c>
      <c r="O8" s="82" t="s">
        <v>8</v>
      </c>
      <c r="P8" s="82" t="s">
        <v>9</v>
      </c>
      <c r="Q8" s="82" t="s">
        <v>9</v>
      </c>
      <c r="R8" s="83" t="s">
        <v>7</v>
      </c>
      <c r="S8" s="106" t="s">
        <v>33</v>
      </c>
      <c r="T8" s="83" t="s">
        <v>7</v>
      </c>
      <c r="U8" s="83" t="s">
        <v>7</v>
      </c>
      <c r="V8" s="82" t="s">
        <v>8</v>
      </c>
      <c r="W8" s="82" t="s">
        <v>8</v>
      </c>
      <c r="X8" s="82" t="s">
        <v>9</v>
      </c>
      <c r="Y8" s="82" t="s">
        <v>9</v>
      </c>
      <c r="Z8" s="83" t="s">
        <v>7</v>
      </c>
      <c r="AA8" s="106" t="s">
        <v>33</v>
      </c>
      <c r="AB8" s="83" t="s">
        <v>7</v>
      </c>
      <c r="AC8" s="83" t="s">
        <v>7</v>
      </c>
      <c r="AD8" s="82" t="s">
        <v>8</v>
      </c>
      <c r="AE8" s="82" t="s">
        <v>8</v>
      </c>
      <c r="AF8" s="82" t="s">
        <v>9</v>
      </c>
      <c r="AG8" s="82" t="s">
        <v>9</v>
      </c>
      <c r="AH8" s="87" t="s">
        <v>7</v>
      </c>
      <c r="AI8" s="124">
        <v>8</v>
      </c>
      <c r="AJ8" s="124" cm="1">
        <f t="array" ref="AJ8">SUM(COUNTIF(E8:AH8,{"R/D","R/N"}))</f>
        <v>3</v>
      </c>
      <c r="AK8" s="124">
        <v>0</v>
      </c>
      <c r="AL8" s="124">
        <f t="shared" si="0"/>
        <v>44</v>
      </c>
      <c r="AN8" s="68" t="s">
        <v>50</v>
      </c>
      <c r="AO8" s="64" t="s">
        <v>51</v>
      </c>
      <c r="AP8" s="64" t="s">
        <v>52</v>
      </c>
      <c r="AQ8" s="64" t="s">
        <v>53</v>
      </c>
      <c r="AR8" s="65" t="s">
        <v>54</v>
      </c>
    </row>
    <row r="9" spans="2:44" ht="15.75">
      <c r="B9" s="163" t="s">
        <v>21</v>
      </c>
      <c r="C9" s="18" t="s">
        <v>22</v>
      </c>
      <c r="D9" s="57">
        <v>19575</v>
      </c>
      <c r="E9" s="118" t="s">
        <v>79</v>
      </c>
      <c r="F9" s="3" t="s">
        <v>9</v>
      </c>
      <c r="G9" s="3" t="s">
        <v>9</v>
      </c>
      <c r="H9" s="2" t="s">
        <v>7</v>
      </c>
      <c r="I9" s="70" t="s">
        <v>34</v>
      </c>
      <c r="J9" s="2" t="s">
        <v>7</v>
      </c>
      <c r="K9" s="2" t="s">
        <v>7</v>
      </c>
      <c r="L9" s="3" t="s">
        <v>8</v>
      </c>
      <c r="M9" s="3" t="s">
        <v>8</v>
      </c>
      <c r="N9" s="3" t="s">
        <v>9</v>
      </c>
      <c r="O9" s="3" t="s">
        <v>9</v>
      </c>
      <c r="P9" s="2" t="s">
        <v>7</v>
      </c>
      <c r="Q9" s="2" t="s">
        <v>7</v>
      </c>
      <c r="R9" s="2" t="s">
        <v>7</v>
      </c>
      <c r="S9" s="2" t="s">
        <v>7</v>
      </c>
      <c r="T9" s="3" t="s">
        <v>8</v>
      </c>
      <c r="U9" s="3" t="s">
        <v>8</v>
      </c>
      <c r="V9" s="3" t="s">
        <v>9</v>
      </c>
      <c r="W9" s="3" t="s">
        <v>9</v>
      </c>
      <c r="X9" s="70" t="s">
        <v>33</v>
      </c>
      <c r="Y9" s="2" t="s">
        <v>7</v>
      </c>
      <c r="Z9" s="2" t="s">
        <v>7</v>
      </c>
      <c r="AA9" s="2" t="s">
        <v>7</v>
      </c>
      <c r="AB9" s="3" t="s">
        <v>8</v>
      </c>
      <c r="AC9" s="3" t="s">
        <v>8</v>
      </c>
      <c r="AD9" s="3" t="s">
        <v>9</v>
      </c>
      <c r="AE9" s="3" t="s">
        <v>9</v>
      </c>
      <c r="AF9" s="2" t="s">
        <v>7</v>
      </c>
      <c r="AG9" s="2" t="s">
        <v>7</v>
      </c>
      <c r="AH9" s="72" t="s">
        <v>7</v>
      </c>
      <c r="AI9" s="124">
        <v>8</v>
      </c>
      <c r="AJ9" s="124" cm="1">
        <f t="array" ref="AJ9">SUM(COUNTIF(E9:AH9,{"R/D","R/N"}))</f>
        <v>2</v>
      </c>
      <c r="AK9" s="124">
        <v>0</v>
      </c>
      <c r="AL9" s="124">
        <f t="shared" si="0"/>
        <v>32</v>
      </c>
      <c r="AN9" s="177" t="s">
        <v>84</v>
      </c>
      <c r="AO9" s="146" t="s">
        <v>56</v>
      </c>
      <c r="AP9" s="58"/>
      <c r="AQ9" s="180" t="s">
        <v>89</v>
      </c>
      <c r="AR9" s="172" t="s">
        <v>63</v>
      </c>
    </row>
    <row r="10" spans="2:44" ht="16.5" thickBot="1">
      <c r="B10" s="165"/>
      <c r="C10" s="19" t="s">
        <v>23</v>
      </c>
      <c r="D10" s="49">
        <v>17826</v>
      </c>
      <c r="E10" s="86" t="s">
        <v>8</v>
      </c>
      <c r="F10" s="82" t="s">
        <v>8</v>
      </c>
      <c r="G10" s="82" t="s">
        <v>8</v>
      </c>
      <c r="H10" s="83" t="s">
        <v>7</v>
      </c>
      <c r="I10" s="83" t="s">
        <v>7</v>
      </c>
      <c r="J10" s="83" t="s">
        <v>7</v>
      </c>
      <c r="K10" s="83" t="s">
        <v>7</v>
      </c>
      <c r="L10" s="82" t="s">
        <v>8</v>
      </c>
      <c r="M10" s="82" t="s">
        <v>8</v>
      </c>
      <c r="N10" s="82" t="s">
        <v>9</v>
      </c>
      <c r="O10" s="82" t="s">
        <v>9</v>
      </c>
      <c r="P10" s="83" t="s">
        <v>7</v>
      </c>
      <c r="Q10" s="106" t="s">
        <v>34</v>
      </c>
      <c r="R10" s="83" t="s">
        <v>7</v>
      </c>
      <c r="S10" s="83" t="s">
        <v>7</v>
      </c>
      <c r="T10" s="82" t="s">
        <v>8</v>
      </c>
      <c r="U10" s="118" t="s">
        <v>79</v>
      </c>
      <c r="V10" s="82" t="s">
        <v>8</v>
      </c>
      <c r="W10" s="82" t="s">
        <v>8</v>
      </c>
      <c r="X10" s="83" t="s">
        <v>7</v>
      </c>
      <c r="Y10" s="106" t="s">
        <v>33</v>
      </c>
      <c r="Z10" s="83" t="s">
        <v>7</v>
      </c>
      <c r="AA10" s="83" t="s">
        <v>7</v>
      </c>
      <c r="AB10" s="82" t="s">
        <v>8</v>
      </c>
      <c r="AC10" s="82" t="s">
        <v>8</v>
      </c>
      <c r="AD10" s="82" t="s">
        <v>8</v>
      </c>
      <c r="AE10" s="82" t="s">
        <v>8</v>
      </c>
      <c r="AF10" s="83" t="s">
        <v>7</v>
      </c>
      <c r="AG10" s="83" t="s">
        <v>7</v>
      </c>
      <c r="AH10" s="87" t="s">
        <v>7</v>
      </c>
      <c r="AI10" s="124">
        <v>8</v>
      </c>
      <c r="AJ10" s="124" cm="1">
        <f t="array" ref="AJ10">SUM(COUNTIF(E10:AH10,{"R/D","R/N"}))</f>
        <v>2</v>
      </c>
      <c r="AK10" s="124">
        <v>0</v>
      </c>
      <c r="AL10" s="124">
        <f t="shared" si="0"/>
        <v>32</v>
      </c>
      <c r="AN10" s="178"/>
      <c r="AO10" s="147"/>
      <c r="AP10" s="67" t="s">
        <v>86</v>
      </c>
      <c r="AQ10" s="181"/>
      <c r="AR10" s="173"/>
    </row>
    <row r="11" spans="2:44" ht="15.75">
      <c r="B11" s="163" t="s">
        <v>24</v>
      </c>
      <c r="C11" s="20" t="s">
        <v>25</v>
      </c>
      <c r="D11" s="57">
        <v>19612</v>
      </c>
      <c r="E11" s="10" t="s">
        <v>9</v>
      </c>
      <c r="F11" s="2" t="s">
        <v>7</v>
      </c>
      <c r="G11" s="2" t="s">
        <v>7</v>
      </c>
      <c r="H11" s="70" t="s">
        <v>34</v>
      </c>
      <c r="I11" s="2" t="s">
        <v>7</v>
      </c>
      <c r="J11" s="3" t="s">
        <v>8</v>
      </c>
      <c r="K11" s="3" t="s">
        <v>8</v>
      </c>
      <c r="L11" s="3" t="s">
        <v>9</v>
      </c>
      <c r="M11" s="3" t="s">
        <v>9</v>
      </c>
      <c r="N11" s="2" t="s">
        <v>7</v>
      </c>
      <c r="O11" s="2" t="s">
        <v>7</v>
      </c>
      <c r="P11" s="2" t="s">
        <v>7</v>
      </c>
      <c r="Q11" s="2" t="s">
        <v>7</v>
      </c>
      <c r="R11" s="3" t="s">
        <v>8</v>
      </c>
      <c r="S11" s="3" t="s">
        <v>8</v>
      </c>
      <c r="T11" s="3" t="s">
        <v>9</v>
      </c>
      <c r="U11" s="3" t="s">
        <v>9</v>
      </c>
      <c r="V11" s="2" t="s">
        <v>7</v>
      </c>
      <c r="W11" s="2" t="s">
        <v>7</v>
      </c>
      <c r="X11" s="2" t="s">
        <v>7</v>
      </c>
      <c r="Y11" s="70" t="s">
        <v>34</v>
      </c>
      <c r="Z11" s="3" t="s">
        <v>8</v>
      </c>
      <c r="AA11" s="3" t="s">
        <v>8</v>
      </c>
      <c r="AB11" s="3" t="s">
        <v>9</v>
      </c>
      <c r="AC11" s="3" t="s">
        <v>9</v>
      </c>
      <c r="AD11" s="2" t="s">
        <v>7</v>
      </c>
      <c r="AE11" s="2" t="s">
        <v>7</v>
      </c>
      <c r="AF11" s="2" t="s">
        <v>7</v>
      </c>
      <c r="AG11" s="2" t="s">
        <v>7</v>
      </c>
      <c r="AH11" s="41" t="s">
        <v>8</v>
      </c>
      <c r="AI11" s="124">
        <v>8</v>
      </c>
      <c r="AJ11" s="124" cm="1">
        <f t="array" ref="AJ11">SUM(COUNTIF(E11:AH11,{"R/D","R/N"}))</f>
        <v>2</v>
      </c>
      <c r="AK11" s="124">
        <v>0</v>
      </c>
      <c r="AL11" s="124">
        <f t="shared" si="0"/>
        <v>32</v>
      </c>
      <c r="AN11" s="178"/>
      <c r="AO11" s="147"/>
      <c r="AP11" s="67" t="s">
        <v>87</v>
      </c>
      <c r="AQ11" s="181"/>
      <c r="AR11" s="173"/>
    </row>
    <row r="12" spans="2:44" ht="15.75" customHeight="1">
      <c r="B12" s="164"/>
      <c r="C12" s="21" t="s">
        <v>26</v>
      </c>
      <c r="D12" s="49">
        <v>18615</v>
      </c>
      <c r="E12" s="11" t="s">
        <v>9</v>
      </c>
      <c r="F12" s="5" t="s">
        <v>7</v>
      </c>
      <c r="G12" s="5" t="s">
        <v>7</v>
      </c>
      <c r="H12" s="5" t="s">
        <v>7</v>
      </c>
      <c r="I12" s="5" t="s">
        <v>7</v>
      </c>
      <c r="J12" s="6" t="s">
        <v>8</v>
      </c>
      <c r="K12" s="6" t="s">
        <v>8</v>
      </c>
      <c r="L12" s="6" t="s">
        <v>9</v>
      </c>
      <c r="M12" s="6" t="s">
        <v>9</v>
      </c>
      <c r="N12" s="5" t="s">
        <v>7</v>
      </c>
      <c r="O12" s="5" t="s">
        <v>7</v>
      </c>
      <c r="P12" s="5" t="s">
        <v>7</v>
      </c>
      <c r="Q12" s="5" t="s">
        <v>7</v>
      </c>
      <c r="R12" s="6" t="s">
        <v>8</v>
      </c>
      <c r="S12" s="6" t="s">
        <v>8</v>
      </c>
      <c r="T12" s="6" t="s">
        <v>9</v>
      </c>
      <c r="U12" s="6" t="s">
        <v>9</v>
      </c>
      <c r="V12" s="5" t="s">
        <v>7</v>
      </c>
      <c r="W12" s="5" t="s">
        <v>7</v>
      </c>
      <c r="X12" s="27" t="s">
        <v>34</v>
      </c>
      <c r="Y12" s="5" t="s">
        <v>7</v>
      </c>
      <c r="Z12" s="6" t="s">
        <v>8</v>
      </c>
      <c r="AA12" s="6" t="s">
        <v>8</v>
      </c>
      <c r="AB12" s="6" t="s">
        <v>9</v>
      </c>
      <c r="AC12" s="6" t="s">
        <v>9</v>
      </c>
      <c r="AD12" s="5" t="s">
        <v>7</v>
      </c>
      <c r="AE12" s="5" t="s">
        <v>7</v>
      </c>
      <c r="AF12" s="5" t="s">
        <v>7</v>
      </c>
      <c r="AG12" s="5" t="s">
        <v>7</v>
      </c>
      <c r="AH12" s="42" t="s">
        <v>8</v>
      </c>
      <c r="AI12" s="124">
        <v>8</v>
      </c>
      <c r="AJ12" s="124" cm="1">
        <f t="array" ref="AJ12">SUM(COUNTIF(E12:AH12,{"R/D","R/N"}))</f>
        <v>1</v>
      </c>
      <c r="AK12" s="124">
        <v>0</v>
      </c>
      <c r="AL12" s="124">
        <f t="shared" si="0"/>
        <v>20</v>
      </c>
      <c r="AN12" s="178"/>
      <c r="AO12" s="147"/>
      <c r="AP12" s="67" t="s">
        <v>85</v>
      </c>
      <c r="AQ12" s="181"/>
      <c r="AR12" s="173"/>
    </row>
    <row r="13" spans="2:44" ht="16.5" customHeight="1" thickBot="1">
      <c r="B13" s="164"/>
      <c r="C13" s="22" t="s">
        <v>27</v>
      </c>
      <c r="D13" s="49">
        <v>21295</v>
      </c>
      <c r="E13" s="102" t="s">
        <v>10</v>
      </c>
      <c r="F13" s="101" t="s">
        <v>10</v>
      </c>
      <c r="G13" s="103" t="s">
        <v>11</v>
      </c>
      <c r="H13" s="103" t="s">
        <v>11</v>
      </c>
      <c r="I13" s="101" t="s">
        <v>10</v>
      </c>
      <c r="J13" s="82" t="s">
        <v>8</v>
      </c>
      <c r="K13" s="82" t="s">
        <v>8</v>
      </c>
      <c r="L13" s="82" t="s">
        <v>9</v>
      </c>
      <c r="M13" s="82" t="s">
        <v>9</v>
      </c>
      <c r="N13" s="83" t="s">
        <v>7</v>
      </c>
      <c r="O13" s="83" t="s">
        <v>7</v>
      </c>
      <c r="P13" s="106" t="s">
        <v>34</v>
      </c>
      <c r="Q13" s="83" t="s">
        <v>7</v>
      </c>
      <c r="R13" s="82" t="s">
        <v>8</v>
      </c>
      <c r="S13" s="82" t="s">
        <v>8</v>
      </c>
      <c r="T13" s="82" t="s">
        <v>9</v>
      </c>
      <c r="U13" s="82" t="s">
        <v>9</v>
      </c>
      <c r="V13" s="83" t="s">
        <v>7</v>
      </c>
      <c r="W13" s="83" t="s">
        <v>7</v>
      </c>
      <c r="X13" s="83" t="s">
        <v>7</v>
      </c>
      <c r="Y13" s="83" t="s">
        <v>7</v>
      </c>
      <c r="Z13" s="82" t="s">
        <v>8</v>
      </c>
      <c r="AA13" s="82" t="s">
        <v>8</v>
      </c>
      <c r="AB13" s="82" t="s">
        <v>9</v>
      </c>
      <c r="AC13" s="82" t="s">
        <v>9</v>
      </c>
      <c r="AD13" s="83" t="s">
        <v>7</v>
      </c>
      <c r="AE13" s="83" t="s">
        <v>7</v>
      </c>
      <c r="AF13" s="83" t="s">
        <v>7</v>
      </c>
      <c r="AG13" s="83" t="s">
        <v>7</v>
      </c>
      <c r="AH13" s="104" t="s">
        <v>8</v>
      </c>
      <c r="AI13" s="124">
        <v>6</v>
      </c>
      <c r="AJ13" s="124" cm="1">
        <f t="array" ref="AJ13">SUM(COUNTIF(E13:AH13,{"R/D","R/N"}))</f>
        <v>1</v>
      </c>
      <c r="AK13" s="124">
        <v>0</v>
      </c>
      <c r="AL13" s="124">
        <f t="shared" si="0"/>
        <v>18</v>
      </c>
      <c r="AN13" s="179"/>
      <c r="AO13" s="148"/>
      <c r="AP13" s="80" t="s">
        <v>88</v>
      </c>
      <c r="AQ13" s="182"/>
      <c r="AR13" s="173"/>
    </row>
    <row r="14" spans="2:44" ht="15.75">
      <c r="B14" s="163" t="s">
        <v>8</v>
      </c>
      <c r="C14" s="23" t="s">
        <v>28</v>
      </c>
      <c r="D14" s="57">
        <v>19573</v>
      </c>
      <c r="E14" s="1" t="s">
        <v>7</v>
      </c>
      <c r="F14" s="2" t="s">
        <v>7</v>
      </c>
      <c r="G14" s="2" t="s">
        <v>7</v>
      </c>
      <c r="H14" s="3" t="s">
        <v>8</v>
      </c>
      <c r="I14" s="3" t="s">
        <v>8</v>
      </c>
      <c r="J14" s="3" t="s">
        <v>9</v>
      </c>
      <c r="K14" s="3" t="s">
        <v>9</v>
      </c>
      <c r="L14" s="2" t="s">
        <v>7</v>
      </c>
      <c r="M14" s="2" t="s">
        <v>7</v>
      </c>
      <c r="N14" s="2" t="s">
        <v>7</v>
      </c>
      <c r="O14" s="2" t="s">
        <v>7</v>
      </c>
      <c r="P14" s="3" t="s">
        <v>8</v>
      </c>
      <c r="Q14" s="3" t="s">
        <v>8</v>
      </c>
      <c r="R14" s="3" t="s">
        <v>9</v>
      </c>
      <c r="S14" s="3" t="s">
        <v>9</v>
      </c>
      <c r="T14" s="2" t="s">
        <v>7</v>
      </c>
      <c r="U14" s="2" t="s">
        <v>7</v>
      </c>
      <c r="V14" s="2" t="s">
        <v>7</v>
      </c>
      <c r="W14" s="2" t="s">
        <v>7</v>
      </c>
      <c r="X14" s="3" t="s">
        <v>8</v>
      </c>
      <c r="Y14" s="3" t="s">
        <v>8</v>
      </c>
      <c r="Z14" s="3" t="s">
        <v>9</v>
      </c>
      <c r="AA14" s="3" t="s">
        <v>9</v>
      </c>
      <c r="AB14" s="2" t="s">
        <v>7</v>
      </c>
      <c r="AC14" s="2" t="s">
        <v>7</v>
      </c>
      <c r="AD14" s="2" t="s">
        <v>7</v>
      </c>
      <c r="AE14" s="2" t="s">
        <v>7</v>
      </c>
      <c r="AF14" s="3" t="s">
        <v>8</v>
      </c>
      <c r="AG14" s="3" t="s">
        <v>8</v>
      </c>
      <c r="AH14" s="41" t="s">
        <v>9</v>
      </c>
      <c r="AI14" s="124">
        <v>6</v>
      </c>
      <c r="AJ14" s="124" cm="1">
        <f t="array" ref="AJ14">SUM(COUNTIF(E14:AH14,{"R/D","R/N"}))</f>
        <v>0</v>
      </c>
      <c r="AK14" s="124">
        <v>0</v>
      </c>
      <c r="AL14" s="124">
        <f t="shared" si="0"/>
        <v>6</v>
      </c>
      <c r="AN14" s="186" t="s">
        <v>57</v>
      </c>
      <c r="AO14" s="152" t="s">
        <v>58</v>
      </c>
      <c r="AP14" s="58" t="s">
        <v>80</v>
      </c>
      <c r="AQ14" s="59">
        <v>45613</v>
      </c>
      <c r="AR14" s="155" t="s">
        <v>59</v>
      </c>
    </row>
    <row r="15" spans="2:44" ht="15.75">
      <c r="B15" s="164"/>
      <c r="C15" s="24" t="s">
        <v>29</v>
      </c>
      <c r="D15" s="56">
        <v>18383</v>
      </c>
      <c r="E15" s="4" t="s">
        <v>7</v>
      </c>
      <c r="F15" s="5" t="s">
        <v>7</v>
      </c>
      <c r="G15" s="5" t="s">
        <v>7</v>
      </c>
      <c r="H15" s="12" t="s">
        <v>10</v>
      </c>
      <c r="I15" s="12" t="s">
        <v>10</v>
      </c>
      <c r="J15" s="12" t="s">
        <v>10</v>
      </c>
      <c r="K15" s="12" t="s">
        <v>10</v>
      </c>
      <c r="L15" s="13" t="s">
        <v>11</v>
      </c>
      <c r="M15" s="13" t="s">
        <v>11</v>
      </c>
      <c r="N15" s="12" t="s">
        <v>10</v>
      </c>
      <c r="O15" s="12" t="s">
        <v>10</v>
      </c>
      <c r="P15" s="12" t="s">
        <v>10</v>
      </c>
      <c r="Q15" s="12" t="s">
        <v>10</v>
      </c>
      <c r="R15" s="12" t="s">
        <v>10</v>
      </c>
      <c r="S15" s="13" t="s">
        <v>11</v>
      </c>
      <c r="T15" s="13" t="s">
        <v>11</v>
      </c>
      <c r="U15" s="12" t="s">
        <v>10</v>
      </c>
      <c r="V15" s="12" t="s">
        <v>10</v>
      </c>
      <c r="W15" s="12" t="s">
        <v>10</v>
      </c>
      <c r="X15" s="12" t="s">
        <v>10</v>
      </c>
      <c r="Y15" s="12" t="s">
        <v>10</v>
      </c>
      <c r="Z15" s="13" t="s">
        <v>11</v>
      </c>
      <c r="AA15" s="13" t="s">
        <v>11</v>
      </c>
      <c r="AB15" s="12" t="s">
        <v>10</v>
      </c>
      <c r="AC15" s="12" t="s">
        <v>10</v>
      </c>
      <c r="AD15" s="12" t="s">
        <v>10</v>
      </c>
      <c r="AE15" s="12" t="s">
        <v>10</v>
      </c>
      <c r="AF15" s="6" t="s">
        <v>8</v>
      </c>
      <c r="AG15" s="6" t="s">
        <v>8</v>
      </c>
      <c r="AH15" s="42" t="s">
        <v>9</v>
      </c>
      <c r="AI15" s="124">
        <v>0</v>
      </c>
      <c r="AJ15" s="124" cm="1">
        <f t="array" ref="AJ15">SUM(COUNTIF(E15:AH15,{"R/D","R/N"}))</f>
        <v>0</v>
      </c>
      <c r="AK15" s="124">
        <v>0</v>
      </c>
      <c r="AL15" s="124">
        <f t="shared" si="0"/>
        <v>0</v>
      </c>
      <c r="AN15" s="187"/>
      <c r="AO15" s="153"/>
      <c r="AP15" s="60" t="s">
        <v>81</v>
      </c>
      <c r="AQ15" s="61">
        <v>45606</v>
      </c>
      <c r="AR15" s="156"/>
    </row>
    <row r="16" spans="2:44" ht="16.5" thickBot="1">
      <c r="B16" s="165"/>
      <c r="C16" s="25" t="s">
        <v>30</v>
      </c>
      <c r="D16" s="55">
        <v>24132</v>
      </c>
      <c r="E16" s="4" t="s">
        <v>7</v>
      </c>
      <c r="F16" s="5" t="s">
        <v>7</v>
      </c>
      <c r="G16" s="5" t="s">
        <v>7</v>
      </c>
      <c r="H16" s="6" t="s">
        <v>8</v>
      </c>
      <c r="I16" s="6" t="s">
        <v>8</v>
      </c>
      <c r="J16" s="6" t="s">
        <v>9</v>
      </c>
      <c r="K16" s="6" t="s">
        <v>9</v>
      </c>
      <c r="L16" s="5" t="s">
        <v>7</v>
      </c>
      <c r="M16" s="5" t="s">
        <v>7</v>
      </c>
      <c r="N16" s="5" t="s">
        <v>7</v>
      </c>
      <c r="O16" s="5" t="s">
        <v>7</v>
      </c>
      <c r="P16" s="6" t="s">
        <v>8</v>
      </c>
      <c r="Q16" s="6" t="s">
        <v>8</v>
      </c>
      <c r="R16" s="6" t="s">
        <v>9</v>
      </c>
      <c r="S16" s="6" t="s">
        <v>9</v>
      </c>
      <c r="T16" s="5" t="s">
        <v>7</v>
      </c>
      <c r="U16" s="5" t="s">
        <v>7</v>
      </c>
      <c r="V16" s="5" t="s">
        <v>7</v>
      </c>
      <c r="W16" s="5" t="s">
        <v>7</v>
      </c>
      <c r="X16" s="6" t="s">
        <v>8</v>
      </c>
      <c r="Y16" s="6" t="s">
        <v>8</v>
      </c>
      <c r="Z16" s="6" t="s">
        <v>9</v>
      </c>
      <c r="AA16" s="6" t="s">
        <v>9</v>
      </c>
      <c r="AB16" s="5" t="s">
        <v>7</v>
      </c>
      <c r="AC16" s="5" t="s">
        <v>7</v>
      </c>
      <c r="AD16" s="5" t="s">
        <v>7</v>
      </c>
      <c r="AE16" s="5" t="s">
        <v>7</v>
      </c>
      <c r="AF16" s="6" t="s">
        <v>8</v>
      </c>
      <c r="AG16" s="6" t="s">
        <v>8</v>
      </c>
      <c r="AH16" s="42" t="s">
        <v>9</v>
      </c>
      <c r="AI16" s="124">
        <v>6</v>
      </c>
      <c r="AJ16" s="124" cm="1">
        <f t="array" ref="AJ16">SUM(COUNTIF(E16:AH16,{"R/D","R/N"}))</f>
        <v>0</v>
      </c>
      <c r="AK16" s="124">
        <v>0</v>
      </c>
      <c r="AL16" s="124">
        <f t="shared" si="0"/>
        <v>6</v>
      </c>
      <c r="AN16" s="187"/>
      <c r="AO16" s="153"/>
      <c r="AP16" s="60" t="s">
        <v>82</v>
      </c>
      <c r="AQ16" s="61">
        <v>45597</v>
      </c>
      <c r="AR16" s="156"/>
    </row>
    <row r="17" spans="2:44" ht="16.5" thickBot="1">
      <c r="B17" s="31" t="s">
        <v>31</v>
      </c>
      <c r="C17" s="26" t="s">
        <v>32</v>
      </c>
      <c r="D17" s="54">
        <v>17997</v>
      </c>
      <c r="E17" s="14" t="s">
        <v>8</v>
      </c>
      <c r="F17" s="9" t="s">
        <v>9</v>
      </c>
      <c r="G17" s="9" t="s">
        <v>9</v>
      </c>
      <c r="H17" s="8" t="s">
        <v>7</v>
      </c>
      <c r="I17" s="37" t="s">
        <v>33</v>
      </c>
      <c r="J17" s="8" t="s">
        <v>7</v>
      </c>
      <c r="K17" s="8" t="s">
        <v>7</v>
      </c>
      <c r="L17" s="9" t="s">
        <v>8</v>
      </c>
      <c r="M17" s="9" t="s">
        <v>8</v>
      </c>
      <c r="N17" s="9" t="s">
        <v>8</v>
      </c>
      <c r="O17" s="9" t="s">
        <v>9</v>
      </c>
      <c r="P17" s="8" t="s">
        <v>7</v>
      </c>
      <c r="Q17" s="8" t="s">
        <v>7</v>
      </c>
      <c r="R17" s="37" t="s">
        <v>33</v>
      </c>
      <c r="S17" s="8" t="s">
        <v>7</v>
      </c>
      <c r="T17" s="9" t="s">
        <v>8</v>
      </c>
      <c r="U17" s="9" t="s">
        <v>8</v>
      </c>
      <c r="V17" s="9" t="s">
        <v>9</v>
      </c>
      <c r="W17" s="9" t="s">
        <v>9</v>
      </c>
      <c r="X17" s="8" t="s">
        <v>7</v>
      </c>
      <c r="Y17" s="8" t="s">
        <v>7</v>
      </c>
      <c r="Z17" s="37" t="s">
        <v>33</v>
      </c>
      <c r="AA17" s="8" t="s">
        <v>7</v>
      </c>
      <c r="AB17" s="9" t="s">
        <v>8</v>
      </c>
      <c r="AC17" s="9" t="s">
        <v>8</v>
      </c>
      <c r="AD17" s="9" t="s">
        <v>9</v>
      </c>
      <c r="AE17" s="9" t="s">
        <v>9</v>
      </c>
      <c r="AF17" s="8" t="s">
        <v>7</v>
      </c>
      <c r="AG17" s="8" t="s">
        <v>7</v>
      </c>
      <c r="AH17" s="74" t="s">
        <v>7</v>
      </c>
      <c r="AI17" s="124">
        <v>8</v>
      </c>
      <c r="AJ17" s="124" cm="1">
        <f t="array" ref="AJ17">SUM(COUNTIF(E17:AH17,{"R/D","R/N"}))</f>
        <v>3</v>
      </c>
      <c r="AK17" s="124">
        <v>0</v>
      </c>
      <c r="AL17" s="124">
        <f t="shared" si="0"/>
        <v>44</v>
      </c>
      <c r="AN17" s="187"/>
      <c r="AO17" s="153"/>
      <c r="AP17" s="60"/>
      <c r="AQ17" s="61"/>
      <c r="AR17" s="156"/>
    </row>
    <row r="18" spans="2:44" ht="15.75">
      <c r="D18" s="46" t="s">
        <v>8</v>
      </c>
      <c r="E18" s="45">
        <f>COUNTIF(E6:E17,"D")+COUNTIF(E6:E17,"R/D")</f>
        <v>2</v>
      </c>
      <c r="F18" s="45">
        <f t="shared" ref="F18:AH18" si="1">COUNTIF(F6:F17,"D")+COUNTIF(F6:F17,"R/D")</f>
        <v>3</v>
      </c>
      <c r="G18" s="45">
        <f t="shared" si="1"/>
        <v>3</v>
      </c>
      <c r="H18" s="45">
        <f t="shared" si="1"/>
        <v>3</v>
      </c>
      <c r="I18" s="45">
        <f t="shared" si="1"/>
        <v>3</v>
      </c>
      <c r="J18" s="45">
        <f t="shared" si="1"/>
        <v>3</v>
      </c>
      <c r="K18" s="45">
        <f t="shared" si="1"/>
        <v>3</v>
      </c>
      <c r="L18" s="45">
        <f>COUNTIF(L6:L17,"D")+COUNTIF(L6:L17,"R/D")</f>
        <v>3</v>
      </c>
      <c r="M18" s="45">
        <f t="shared" si="1"/>
        <v>3</v>
      </c>
      <c r="N18" s="45">
        <f t="shared" si="1"/>
        <v>3</v>
      </c>
      <c r="O18" s="45">
        <f t="shared" si="1"/>
        <v>2</v>
      </c>
      <c r="P18" s="45">
        <f t="shared" si="1"/>
        <v>3</v>
      </c>
      <c r="Q18" s="45">
        <f t="shared" si="1"/>
        <v>3</v>
      </c>
      <c r="R18" s="45">
        <f>COUNTIF(R6:R17,"D")+COUNTIF(R6:R17,"R/D")</f>
        <v>3</v>
      </c>
      <c r="S18" s="45">
        <f t="shared" si="1"/>
        <v>3</v>
      </c>
      <c r="T18" s="45">
        <f t="shared" si="1"/>
        <v>3</v>
      </c>
      <c r="U18" s="45">
        <f t="shared" si="1"/>
        <v>2</v>
      </c>
      <c r="V18" s="45">
        <f t="shared" si="1"/>
        <v>3</v>
      </c>
      <c r="W18" s="45">
        <f t="shared" si="1"/>
        <v>3</v>
      </c>
      <c r="X18" s="45">
        <f t="shared" si="1"/>
        <v>3</v>
      </c>
      <c r="Y18" s="45">
        <f t="shared" si="1"/>
        <v>3</v>
      </c>
      <c r="Z18" s="45">
        <f t="shared" si="1"/>
        <v>3</v>
      </c>
      <c r="AA18" s="45">
        <f t="shared" si="1"/>
        <v>3</v>
      </c>
      <c r="AB18" s="45">
        <f t="shared" si="1"/>
        <v>3</v>
      </c>
      <c r="AC18" s="45">
        <f t="shared" si="1"/>
        <v>3</v>
      </c>
      <c r="AD18" s="45">
        <f t="shared" si="1"/>
        <v>2</v>
      </c>
      <c r="AE18" s="45">
        <f t="shared" si="1"/>
        <v>3</v>
      </c>
      <c r="AF18" s="45">
        <f t="shared" si="1"/>
        <v>3</v>
      </c>
      <c r="AG18" s="45">
        <f t="shared" si="1"/>
        <v>3</v>
      </c>
      <c r="AH18" s="45">
        <f t="shared" si="1"/>
        <v>3</v>
      </c>
      <c r="AI18" s="125">
        <f>SUM(AI6:AI17)</f>
        <v>76</v>
      </c>
      <c r="AJ18" s="125">
        <f t="shared" ref="AJ18" si="2">SUM(AJ6:AJ17)</f>
        <v>15</v>
      </c>
      <c r="AK18" s="125"/>
      <c r="AL18" s="124">
        <f t="shared" si="0"/>
        <v>256</v>
      </c>
      <c r="AN18" s="187"/>
      <c r="AO18" s="153"/>
      <c r="AP18" s="60"/>
      <c r="AQ18" s="61"/>
      <c r="AR18" s="156"/>
    </row>
    <row r="19" spans="2:44" ht="15.75" thickBot="1">
      <c r="D19" s="47" t="s">
        <v>9</v>
      </c>
      <c r="E19" s="44">
        <f>COUNTIF(E6:E17,"N")+COUNTIF(E6:E17,"R/N")</f>
        <v>2</v>
      </c>
      <c r="F19" s="44">
        <f t="shared" ref="F19:AH19" si="3">COUNTIF(F6:F17,"N")+COUNTIF(F6:F17,"R/N")</f>
        <v>2</v>
      </c>
      <c r="G19" s="44">
        <f t="shared" si="3"/>
        <v>2</v>
      </c>
      <c r="H19" s="44">
        <f t="shared" si="3"/>
        <v>3</v>
      </c>
      <c r="I19" s="44">
        <f t="shared" si="3"/>
        <v>3</v>
      </c>
      <c r="J19" s="44">
        <f t="shared" si="3"/>
        <v>3</v>
      </c>
      <c r="K19" s="44">
        <f t="shared" si="3"/>
        <v>3</v>
      </c>
      <c r="L19" s="44">
        <f t="shared" si="3"/>
        <v>3</v>
      </c>
      <c r="M19" s="44">
        <f t="shared" si="3"/>
        <v>3</v>
      </c>
      <c r="N19" s="44">
        <f t="shared" si="3"/>
        <v>2</v>
      </c>
      <c r="O19" s="44">
        <f t="shared" si="3"/>
        <v>3</v>
      </c>
      <c r="P19" s="44">
        <f t="shared" si="3"/>
        <v>2</v>
      </c>
      <c r="Q19" s="44">
        <f t="shared" si="3"/>
        <v>3</v>
      </c>
      <c r="R19" s="44">
        <f t="shared" si="3"/>
        <v>3</v>
      </c>
      <c r="S19" s="44">
        <f t="shared" si="3"/>
        <v>3</v>
      </c>
      <c r="T19" s="44">
        <f t="shared" si="3"/>
        <v>3</v>
      </c>
      <c r="U19" s="44">
        <f t="shared" si="3"/>
        <v>3</v>
      </c>
      <c r="V19" s="44">
        <f t="shared" si="3"/>
        <v>2</v>
      </c>
      <c r="W19" s="44">
        <f t="shared" si="3"/>
        <v>2</v>
      </c>
      <c r="X19" s="44">
        <f t="shared" si="3"/>
        <v>3</v>
      </c>
      <c r="Y19" s="44">
        <f t="shared" si="3"/>
        <v>3</v>
      </c>
      <c r="Z19" s="44">
        <f t="shared" si="3"/>
        <v>3</v>
      </c>
      <c r="AA19" s="44">
        <f t="shared" si="3"/>
        <v>3</v>
      </c>
      <c r="AB19" s="44">
        <f t="shared" si="3"/>
        <v>3</v>
      </c>
      <c r="AC19" s="44">
        <f t="shared" si="3"/>
        <v>3</v>
      </c>
      <c r="AD19" s="44">
        <f t="shared" si="3"/>
        <v>2</v>
      </c>
      <c r="AE19" s="44">
        <f t="shared" si="3"/>
        <v>2</v>
      </c>
      <c r="AF19" s="44">
        <f t="shared" si="3"/>
        <v>2</v>
      </c>
      <c r="AG19" s="44">
        <f t="shared" si="3"/>
        <v>2</v>
      </c>
      <c r="AH19" s="44">
        <f t="shared" si="3"/>
        <v>3</v>
      </c>
      <c r="AI19" s="125"/>
      <c r="AJ19" s="125"/>
      <c r="AK19" s="125"/>
      <c r="AL19" s="125"/>
      <c r="AN19" s="188"/>
      <c r="AO19" s="154"/>
      <c r="AP19" s="62"/>
      <c r="AQ19" s="63"/>
      <c r="AR19" s="157"/>
    </row>
    <row r="20" spans="2:44">
      <c r="D20" s="48" t="s">
        <v>7</v>
      </c>
      <c r="E20" s="44">
        <f>COUNTIF(E6:E17,"R")</f>
        <v>6</v>
      </c>
      <c r="F20" s="44">
        <f t="shared" ref="F20:AH20" si="4">COUNTIF(F6:F17,"R")</f>
        <v>5</v>
      </c>
      <c r="G20" s="44">
        <f t="shared" si="4"/>
        <v>5</v>
      </c>
      <c r="H20" s="44">
        <f t="shared" si="4"/>
        <v>4</v>
      </c>
      <c r="I20" s="44">
        <f t="shared" si="4"/>
        <v>3</v>
      </c>
      <c r="J20" s="44">
        <f t="shared" si="4"/>
        <v>5</v>
      </c>
      <c r="K20" s="44">
        <f t="shared" si="4"/>
        <v>5</v>
      </c>
      <c r="L20" s="44">
        <f t="shared" si="4"/>
        <v>5</v>
      </c>
      <c r="M20" s="44">
        <f t="shared" si="4"/>
        <v>5</v>
      </c>
      <c r="N20" s="44">
        <f t="shared" si="4"/>
        <v>5</v>
      </c>
      <c r="O20" s="44">
        <f t="shared" si="4"/>
        <v>5</v>
      </c>
      <c r="P20" s="44">
        <f t="shared" si="4"/>
        <v>5</v>
      </c>
      <c r="Q20" s="44">
        <f t="shared" si="4"/>
        <v>5</v>
      </c>
      <c r="R20" s="44">
        <f t="shared" si="4"/>
        <v>5</v>
      </c>
      <c r="S20" s="44">
        <f t="shared" si="4"/>
        <v>5</v>
      </c>
      <c r="T20" s="44">
        <f t="shared" si="4"/>
        <v>5</v>
      </c>
      <c r="U20" s="44">
        <f t="shared" si="4"/>
        <v>5</v>
      </c>
      <c r="V20" s="44">
        <f t="shared" si="4"/>
        <v>5</v>
      </c>
      <c r="W20" s="44">
        <f t="shared" si="4"/>
        <v>5</v>
      </c>
      <c r="X20" s="44">
        <f t="shared" si="4"/>
        <v>4</v>
      </c>
      <c r="Y20" s="44">
        <f t="shared" si="4"/>
        <v>4</v>
      </c>
      <c r="Z20" s="44">
        <f t="shared" si="4"/>
        <v>4</v>
      </c>
      <c r="AA20" s="44">
        <f t="shared" si="4"/>
        <v>4</v>
      </c>
      <c r="AB20" s="44">
        <f t="shared" si="4"/>
        <v>4</v>
      </c>
      <c r="AC20" s="44">
        <f t="shared" si="4"/>
        <v>4</v>
      </c>
      <c r="AD20" s="44">
        <f t="shared" si="4"/>
        <v>5</v>
      </c>
      <c r="AE20" s="44">
        <f t="shared" si="4"/>
        <v>5</v>
      </c>
      <c r="AF20" s="44">
        <f t="shared" si="4"/>
        <v>6</v>
      </c>
      <c r="AG20" s="44">
        <f t="shared" si="4"/>
        <v>6</v>
      </c>
      <c r="AH20" s="44">
        <f t="shared" si="4"/>
        <v>5</v>
      </c>
      <c r="AI20" s="125"/>
      <c r="AJ20" s="125">
        <f>AJ18*12</f>
        <v>180</v>
      </c>
      <c r="AK20" s="125"/>
      <c r="AL20" s="125"/>
      <c r="AN20" s="144" t="s">
        <v>60</v>
      </c>
      <c r="AO20" s="170" t="s">
        <v>58</v>
      </c>
      <c r="AP20" s="66"/>
      <c r="AQ20" s="69"/>
      <c r="AR20" s="175"/>
    </row>
    <row r="21" spans="2:44" ht="15.75" thickBot="1">
      <c r="AN21" s="169"/>
      <c r="AO21" s="171"/>
      <c r="AP21" s="62"/>
      <c r="AQ21" s="63"/>
      <c r="AR21" s="176"/>
    </row>
    <row r="22" spans="2:44" ht="19.5" thickBot="1">
      <c r="B22" s="158" t="s">
        <v>12</v>
      </c>
      <c r="C22" s="159"/>
      <c r="D22" s="160"/>
      <c r="E22" s="183" t="s">
        <v>76</v>
      </c>
      <c r="F22" s="184"/>
      <c r="G22" s="184"/>
      <c r="H22" s="184"/>
      <c r="I22" s="184"/>
      <c r="J22" s="184"/>
      <c r="K22" s="184"/>
      <c r="L22" s="184"/>
      <c r="M22" s="184"/>
      <c r="N22" s="184"/>
      <c r="O22" s="184"/>
      <c r="P22" s="184"/>
      <c r="Q22" s="184"/>
      <c r="R22" s="184"/>
      <c r="S22" s="184"/>
      <c r="T22" s="184"/>
      <c r="U22" s="184"/>
      <c r="V22" s="184"/>
      <c r="W22" s="184"/>
      <c r="X22" s="184"/>
      <c r="Y22" s="184"/>
      <c r="Z22" s="184"/>
      <c r="AA22" s="184"/>
      <c r="AB22" s="184"/>
      <c r="AC22" s="184"/>
      <c r="AD22" s="184"/>
      <c r="AE22" s="184"/>
      <c r="AF22" s="184"/>
      <c r="AG22" s="184"/>
      <c r="AH22" s="185"/>
      <c r="AI22" s="121"/>
      <c r="AJ22" s="121"/>
      <c r="AK22" s="121"/>
      <c r="AL22" s="121"/>
    </row>
    <row r="23" spans="2:44" ht="15.75" thickBot="1">
      <c r="B23" s="161" t="s">
        <v>13</v>
      </c>
      <c r="C23" s="162"/>
      <c r="D23" s="162"/>
      <c r="E23" s="38" t="s">
        <v>6</v>
      </c>
      <c r="F23" s="39" t="s">
        <v>0</v>
      </c>
      <c r="G23" s="39" t="s">
        <v>1</v>
      </c>
      <c r="H23" s="39" t="s">
        <v>2</v>
      </c>
      <c r="I23" s="39" t="s">
        <v>3</v>
      </c>
      <c r="J23" s="39" t="s">
        <v>4</v>
      </c>
      <c r="K23" s="39" t="s">
        <v>5</v>
      </c>
      <c r="L23" s="39" t="s">
        <v>6</v>
      </c>
      <c r="M23" s="39" t="s">
        <v>0</v>
      </c>
      <c r="N23" s="39" t="s">
        <v>1</v>
      </c>
      <c r="O23" s="39" t="s">
        <v>2</v>
      </c>
      <c r="P23" s="39" t="s">
        <v>3</v>
      </c>
      <c r="Q23" s="39" t="s">
        <v>4</v>
      </c>
      <c r="R23" s="39" t="s">
        <v>5</v>
      </c>
      <c r="S23" s="39" t="s">
        <v>6</v>
      </c>
      <c r="T23" s="39" t="s">
        <v>0</v>
      </c>
      <c r="U23" s="39" t="s">
        <v>1</v>
      </c>
      <c r="V23" s="39" t="s">
        <v>2</v>
      </c>
      <c r="W23" s="39" t="s">
        <v>3</v>
      </c>
      <c r="X23" s="39" t="s">
        <v>4</v>
      </c>
      <c r="Y23" s="39" t="s">
        <v>5</v>
      </c>
      <c r="Z23" s="39" t="s">
        <v>6</v>
      </c>
      <c r="AA23" s="39" t="s">
        <v>0</v>
      </c>
      <c r="AB23" s="39" t="s">
        <v>1</v>
      </c>
      <c r="AC23" s="39" t="s">
        <v>2</v>
      </c>
      <c r="AD23" s="39" t="s">
        <v>3</v>
      </c>
      <c r="AE23" s="39" t="s">
        <v>4</v>
      </c>
      <c r="AF23" s="39" t="s">
        <v>5</v>
      </c>
      <c r="AG23" s="39" t="s">
        <v>6</v>
      </c>
      <c r="AH23" s="40" t="s">
        <v>0</v>
      </c>
      <c r="AI23" s="122"/>
      <c r="AJ23" s="122"/>
      <c r="AK23" s="122"/>
      <c r="AL23" s="122"/>
    </row>
    <row r="24" spans="2:44" ht="15.75" thickBot="1">
      <c r="B24" s="51" t="s">
        <v>14</v>
      </c>
      <c r="C24" s="52" t="s">
        <v>15</v>
      </c>
      <c r="D24" s="105" t="s">
        <v>16</v>
      </c>
      <c r="E24" s="115">
        <v>45597</v>
      </c>
      <c r="F24" s="116">
        <v>45598</v>
      </c>
      <c r="G24" s="116">
        <v>45599</v>
      </c>
      <c r="H24" s="116">
        <v>45600</v>
      </c>
      <c r="I24" s="116">
        <v>45601</v>
      </c>
      <c r="J24" s="116">
        <v>45602</v>
      </c>
      <c r="K24" s="116">
        <v>45603</v>
      </c>
      <c r="L24" s="116">
        <v>45604</v>
      </c>
      <c r="M24" s="116">
        <v>45605</v>
      </c>
      <c r="N24" s="116">
        <v>45606</v>
      </c>
      <c r="O24" s="116">
        <v>45607</v>
      </c>
      <c r="P24" s="116">
        <v>45608</v>
      </c>
      <c r="Q24" s="116">
        <v>45609</v>
      </c>
      <c r="R24" s="116">
        <v>45610</v>
      </c>
      <c r="S24" s="116">
        <v>45611</v>
      </c>
      <c r="T24" s="116">
        <v>45612</v>
      </c>
      <c r="U24" s="116">
        <v>45613</v>
      </c>
      <c r="V24" s="116">
        <v>45614</v>
      </c>
      <c r="W24" s="116">
        <v>45615</v>
      </c>
      <c r="X24" s="116">
        <v>45616</v>
      </c>
      <c r="Y24" s="116">
        <v>45617</v>
      </c>
      <c r="Z24" s="116">
        <v>45618</v>
      </c>
      <c r="AA24" s="116">
        <v>45619</v>
      </c>
      <c r="AB24" s="116">
        <v>45620</v>
      </c>
      <c r="AC24" s="116">
        <v>45621</v>
      </c>
      <c r="AD24" s="116">
        <v>45622</v>
      </c>
      <c r="AE24" s="116">
        <v>45623</v>
      </c>
      <c r="AF24" s="116">
        <v>45624</v>
      </c>
      <c r="AG24" s="116">
        <v>45625</v>
      </c>
      <c r="AH24" s="117">
        <v>45626</v>
      </c>
      <c r="AI24" s="123" t="s">
        <v>92</v>
      </c>
      <c r="AJ24" s="123" t="s">
        <v>93</v>
      </c>
      <c r="AK24" s="123" t="s">
        <v>95</v>
      </c>
      <c r="AL24" s="123" t="s">
        <v>94</v>
      </c>
    </row>
    <row r="25" spans="2:44" ht="15.75">
      <c r="B25" s="174" t="s">
        <v>17</v>
      </c>
      <c r="C25" s="15" t="s">
        <v>35</v>
      </c>
      <c r="D25" s="50">
        <v>25751</v>
      </c>
      <c r="E25" s="4" t="s">
        <v>7</v>
      </c>
      <c r="F25" s="3" t="s">
        <v>8</v>
      </c>
      <c r="G25" s="3" t="s">
        <v>8</v>
      </c>
      <c r="H25" s="3" t="s">
        <v>9</v>
      </c>
      <c r="I25" s="3" t="s">
        <v>9</v>
      </c>
      <c r="J25" s="2" t="s">
        <v>7</v>
      </c>
      <c r="K25" s="70" t="s">
        <v>34</v>
      </c>
      <c r="L25" s="2" t="s">
        <v>7</v>
      </c>
      <c r="M25" s="2" t="s">
        <v>7</v>
      </c>
      <c r="N25" s="3" t="s">
        <v>8</v>
      </c>
      <c r="O25" s="3" t="s">
        <v>8</v>
      </c>
      <c r="P25" s="3" t="s">
        <v>9</v>
      </c>
      <c r="Q25" s="3" t="s">
        <v>9</v>
      </c>
      <c r="R25" s="2" t="s">
        <v>7</v>
      </c>
      <c r="S25" s="2" t="s">
        <v>7</v>
      </c>
      <c r="T25" s="2" t="s">
        <v>7</v>
      </c>
      <c r="U25" s="70" t="s">
        <v>34</v>
      </c>
      <c r="V25" s="3" t="s">
        <v>8</v>
      </c>
      <c r="W25" s="3" t="s">
        <v>8</v>
      </c>
      <c r="X25" s="3" t="s">
        <v>9</v>
      </c>
      <c r="Y25" s="3" t="s">
        <v>9</v>
      </c>
      <c r="Z25" s="2" t="s">
        <v>7</v>
      </c>
      <c r="AA25" s="2" t="s">
        <v>7</v>
      </c>
      <c r="AB25" s="91" t="s">
        <v>83</v>
      </c>
      <c r="AC25" s="91" t="s">
        <v>83</v>
      </c>
      <c r="AD25" s="3" t="s">
        <v>8</v>
      </c>
      <c r="AE25" s="3" t="s">
        <v>8</v>
      </c>
      <c r="AF25" s="3" t="s">
        <v>9</v>
      </c>
      <c r="AG25" s="3" t="s">
        <v>9</v>
      </c>
      <c r="AH25" s="72" t="s">
        <v>7</v>
      </c>
      <c r="AI25" s="124">
        <v>8</v>
      </c>
      <c r="AJ25" s="124" cm="1">
        <f t="array" ref="AJ25">SUM(COUNTIF(E25:AH25,{"R/D","R/N"}))</f>
        <v>2</v>
      </c>
      <c r="AK25" s="124">
        <v>2</v>
      </c>
      <c r="AL25" s="124">
        <f>AI25+AJ25*12+AK25*8</f>
        <v>48</v>
      </c>
    </row>
    <row r="26" spans="2:44" ht="15.75">
      <c r="B26" s="164"/>
      <c r="C26" s="16" t="s">
        <v>36</v>
      </c>
      <c r="D26" s="50">
        <v>39325</v>
      </c>
      <c r="E26" s="120" t="s">
        <v>34</v>
      </c>
      <c r="F26" s="6" t="s">
        <v>8</v>
      </c>
      <c r="G26" s="6" t="s">
        <v>8</v>
      </c>
      <c r="H26" s="6" t="s">
        <v>9</v>
      </c>
      <c r="I26" s="6" t="s">
        <v>9</v>
      </c>
      <c r="J26" s="5" t="s">
        <v>7</v>
      </c>
      <c r="K26" s="5" t="s">
        <v>7</v>
      </c>
      <c r="L26" s="5" t="s">
        <v>7</v>
      </c>
      <c r="M26" s="5" t="s">
        <v>7</v>
      </c>
      <c r="N26" s="12" t="s">
        <v>10</v>
      </c>
      <c r="O26" s="12" t="s">
        <v>10</v>
      </c>
      <c r="P26" s="12" t="s">
        <v>10</v>
      </c>
      <c r="Q26" s="12" t="s">
        <v>10</v>
      </c>
      <c r="R26" s="12" t="s">
        <v>10</v>
      </c>
      <c r="S26" s="13" t="s">
        <v>11</v>
      </c>
      <c r="T26" s="13" t="s">
        <v>11</v>
      </c>
      <c r="U26" s="12" t="s">
        <v>10</v>
      </c>
      <c r="V26" s="6" t="s">
        <v>8</v>
      </c>
      <c r="W26" s="6" t="s">
        <v>8</v>
      </c>
      <c r="X26" s="6" t="s">
        <v>9</v>
      </c>
      <c r="Y26" s="6" t="s">
        <v>9</v>
      </c>
      <c r="Z26" s="5" t="s">
        <v>7</v>
      </c>
      <c r="AA26" s="27" t="s">
        <v>33</v>
      </c>
      <c r="AB26" s="5" t="s">
        <v>7</v>
      </c>
      <c r="AC26" s="5" t="s">
        <v>7</v>
      </c>
      <c r="AD26" s="6" t="s">
        <v>8</v>
      </c>
      <c r="AE26" s="6" t="s">
        <v>8</v>
      </c>
      <c r="AF26" s="6" t="s">
        <v>9</v>
      </c>
      <c r="AG26" s="6" t="s">
        <v>9</v>
      </c>
      <c r="AH26" s="73" t="s">
        <v>7</v>
      </c>
      <c r="AI26" s="124">
        <v>6</v>
      </c>
      <c r="AJ26" s="124" cm="1">
        <f t="array" ref="AJ26">SUM(COUNTIF(E26:AH26,{"R/D","R/N"}))</f>
        <v>2</v>
      </c>
      <c r="AK26" s="124">
        <v>0</v>
      </c>
      <c r="AL26" s="124">
        <f t="shared" ref="AL26:AL41" si="5">AI26+AJ26*12+AK26*8</f>
        <v>30</v>
      </c>
    </row>
    <row r="27" spans="2:44" ht="15.75">
      <c r="B27" s="164"/>
      <c r="C27" s="16" t="s">
        <v>37</v>
      </c>
      <c r="D27" s="50">
        <v>31787</v>
      </c>
      <c r="E27" s="4" t="s">
        <v>7</v>
      </c>
      <c r="F27" s="6" t="s">
        <v>8</v>
      </c>
      <c r="G27" s="6" t="s">
        <v>8</v>
      </c>
      <c r="H27" s="6" t="s">
        <v>9</v>
      </c>
      <c r="I27" s="6" t="s">
        <v>9</v>
      </c>
      <c r="J27" s="5" t="s">
        <v>7</v>
      </c>
      <c r="K27" s="5" t="s">
        <v>7</v>
      </c>
      <c r="L27" s="5" t="s">
        <v>7</v>
      </c>
      <c r="M27" s="5" t="s">
        <v>7</v>
      </c>
      <c r="N27" s="6" t="s">
        <v>8</v>
      </c>
      <c r="O27" s="6" t="s">
        <v>8</v>
      </c>
      <c r="P27" s="6" t="s">
        <v>9</v>
      </c>
      <c r="Q27" s="6" t="s">
        <v>9</v>
      </c>
      <c r="R27" s="5" t="s">
        <v>7</v>
      </c>
      <c r="S27" s="5" t="s">
        <v>7</v>
      </c>
      <c r="T27" s="5" t="s">
        <v>7</v>
      </c>
      <c r="U27" s="5" t="s">
        <v>7</v>
      </c>
      <c r="V27" s="6" t="s">
        <v>8</v>
      </c>
      <c r="W27" s="6" t="s">
        <v>8</v>
      </c>
      <c r="X27" s="6" t="s">
        <v>9</v>
      </c>
      <c r="Y27" s="6" t="s">
        <v>9</v>
      </c>
      <c r="Z27" s="5" t="s">
        <v>7</v>
      </c>
      <c r="AA27" s="5" t="s">
        <v>7</v>
      </c>
      <c r="AB27" s="27" t="s">
        <v>34</v>
      </c>
      <c r="AC27" s="27" t="s">
        <v>34</v>
      </c>
      <c r="AD27" s="6" t="s">
        <v>8</v>
      </c>
      <c r="AE27" s="6" t="s">
        <v>8</v>
      </c>
      <c r="AF27" s="6" t="s">
        <v>9</v>
      </c>
      <c r="AG27" s="6" t="s">
        <v>9</v>
      </c>
      <c r="AH27" s="73" t="s">
        <v>7</v>
      </c>
      <c r="AI27" s="124">
        <v>8</v>
      </c>
      <c r="AJ27" s="124" cm="1">
        <f t="array" ref="AJ27">SUM(COUNTIF(E27:AH27,{"R/D","R/N"}))</f>
        <v>2</v>
      </c>
      <c r="AK27" s="124">
        <v>0</v>
      </c>
      <c r="AL27" s="124">
        <f t="shared" si="5"/>
        <v>32</v>
      </c>
    </row>
    <row r="28" spans="2:44" ht="16.5" thickBot="1">
      <c r="B28" s="165"/>
      <c r="C28" s="17" t="s">
        <v>38</v>
      </c>
      <c r="D28" s="55">
        <v>40125</v>
      </c>
      <c r="E28" s="7" t="s">
        <v>7</v>
      </c>
      <c r="F28" s="32" t="s">
        <v>10</v>
      </c>
      <c r="G28" s="32" t="s">
        <v>10</v>
      </c>
      <c r="H28" s="32" t="s">
        <v>10</v>
      </c>
      <c r="I28" s="32" t="s">
        <v>10</v>
      </c>
      <c r="J28" s="32" t="s">
        <v>10</v>
      </c>
      <c r="K28" s="33" t="s">
        <v>11</v>
      </c>
      <c r="L28" s="33" t="s">
        <v>11</v>
      </c>
      <c r="M28" s="32" t="s">
        <v>10</v>
      </c>
      <c r="N28" s="9" t="s">
        <v>8</v>
      </c>
      <c r="O28" s="9" t="s">
        <v>8</v>
      </c>
      <c r="P28" s="9" t="s">
        <v>9</v>
      </c>
      <c r="Q28" s="9" t="s">
        <v>9</v>
      </c>
      <c r="R28" s="8" t="s">
        <v>7</v>
      </c>
      <c r="S28" s="8" t="s">
        <v>7</v>
      </c>
      <c r="T28" s="37" t="s">
        <v>33</v>
      </c>
      <c r="U28" s="8" t="s">
        <v>7</v>
      </c>
      <c r="V28" s="9" t="s">
        <v>8</v>
      </c>
      <c r="W28" s="9" t="s">
        <v>8</v>
      </c>
      <c r="X28" s="9" t="s">
        <v>9</v>
      </c>
      <c r="Y28" s="9" t="s">
        <v>9</v>
      </c>
      <c r="Z28" s="8" t="s">
        <v>7</v>
      </c>
      <c r="AA28" s="8" t="s">
        <v>7</v>
      </c>
      <c r="AB28" s="37" t="s">
        <v>34</v>
      </c>
      <c r="AC28" s="37" t="s">
        <v>34</v>
      </c>
      <c r="AD28" s="9" t="s">
        <v>8</v>
      </c>
      <c r="AE28" s="9" t="s">
        <v>8</v>
      </c>
      <c r="AF28" s="9" t="s">
        <v>9</v>
      </c>
      <c r="AG28" s="9" t="s">
        <v>9</v>
      </c>
      <c r="AH28" s="74" t="s">
        <v>7</v>
      </c>
      <c r="AI28" s="124">
        <v>6</v>
      </c>
      <c r="AJ28" s="124" cm="1">
        <f t="array" ref="AJ28">SUM(COUNTIF(E28:AH28,{"R/D","R/N"}))</f>
        <v>3</v>
      </c>
      <c r="AK28" s="124">
        <v>0</v>
      </c>
      <c r="AL28" s="124">
        <f t="shared" si="5"/>
        <v>42</v>
      </c>
    </row>
    <row r="29" spans="2:44" ht="15.75">
      <c r="B29" s="163" t="s">
        <v>21</v>
      </c>
      <c r="C29" s="19" t="s">
        <v>49</v>
      </c>
      <c r="D29" s="50">
        <v>21189</v>
      </c>
      <c r="E29" s="10" t="s">
        <v>8</v>
      </c>
      <c r="F29" s="3" t="s">
        <v>9</v>
      </c>
      <c r="G29" s="3" t="s">
        <v>9</v>
      </c>
      <c r="H29" s="2" t="s">
        <v>7</v>
      </c>
      <c r="I29" s="2" t="s">
        <v>7</v>
      </c>
      <c r="J29" s="70" t="s">
        <v>34</v>
      </c>
      <c r="K29" s="2" t="s">
        <v>7</v>
      </c>
      <c r="L29" s="3" t="s">
        <v>8</v>
      </c>
      <c r="M29" s="3" t="s">
        <v>8</v>
      </c>
      <c r="N29" s="3" t="s">
        <v>9</v>
      </c>
      <c r="O29" s="3" t="s">
        <v>9</v>
      </c>
      <c r="P29" s="2" t="s">
        <v>7</v>
      </c>
      <c r="Q29" s="70" t="s">
        <v>33</v>
      </c>
      <c r="R29" s="2" t="s">
        <v>7</v>
      </c>
      <c r="S29" s="2" t="s">
        <v>7</v>
      </c>
      <c r="T29" s="3" t="s">
        <v>8</v>
      </c>
      <c r="U29" s="3" t="s">
        <v>8</v>
      </c>
      <c r="V29" s="3" t="s">
        <v>9</v>
      </c>
      <c r="W29" s="3" t="s">
        <v>9</v>
      </c>
      <c r="X29" s="2" t="s">
        <v>7</v>
      </c>
      <c r="Y29" s="2" t="s">
        <v>7</v>
      </c>
      <c r="Z29" s="70" t="s">
        <v>34</v>
      </c>
      <c r="AA29" s="2" t="s">
        <v>7</v>
      </c>
      <c r="AB29" s="91" t="s">
        <v>79</v>
      </c>
      <c r="AC29" s="91" t="s">
        <v>79</v>
      </c>
      <c r="AD29" s="3" t="s">
        <v>9</v>
      </c>
      <c r="AE29" s="3" t="s">
        <v>9</v>
      </c>
      <c r="AF29" s="2" t="s">
        <v>7</v>
      </c>
      <c r="AG29" s="2" t="s">
        <v>7</v>
      </c>
      <c r="AH29" s="72" t="s">
        <v>7</v>
      </c>
      <c r="AI29" s="124">
        <v>8</v>
      </c>
      <c r="AJ29" s="124" cm="1">
        <f t="array" ref="AJ29">SUM(COUNTIF(E29:AH29,{"R/D","R/N"}))</f>
        <v>3</v>
      </c>
      <c r="AK29" s="124">
        <v>0</v>
      </c>
      <c r="AL29" s="124">
        <f t="shared" si="5"/>
        <v>44</v>
      </c>
    </row>
    <row r="30" spans="2:44" ht="15.75">
      <c r="B30" s="164"/>
      <c r="C30" s="19" t="s">
        <v>39</v>
      </c>
      <c r="D30" s="49">
        <v>37837</v>
      </c>
      <c r="E30" s="107" t="s">
        <v>10</v>
      </c>
      <c r="F30" s="12" t="s">
        <v>10</v>
      </c>
      <c r="G30" s="12" t="s">
        <v>10</v>
      </c>
      <c r="H30" s="13" t="s">
        <v>11</v>
      </c>
      <c r="I30" s="13" t="s">
        <v>11</v>
      </c>
      <c r="J30" s="12" t="s">
        <v>10</v>
      </c>
      <c r="K30" s="12" t="s">
        <v>10</v>
      </c>
      <c r="L30" s="6" t="s">
        <v>8</v>
      </c>
      <c r="M30" s="6" t="s">
        <v>8</v>
      </c>
      <c r="N30" s="6" t="s">
        <v>9</v>
      </c>
      <c r="O30" s="6" t="s">
        <v>9</v>
      </c>
      <c r="P30" s="27" t="s">
        <v>33</v>
      </c>
      <c r="Q30" s="5" t="s">
        <v>7</v>
      </c>
      <c r="R30" s="5" t="s">
        <v>7</v>
      </c>
      <c r="S30" s="5" t="s">
        <v>7</v>
      </c>
      <c r="T30" s="6" t="s">
        <v>8</v>
      </c>
      <c r="U30" s="6" t="s">
        <v>8</v>
      </c>
      <c r="V30" s="6" t="s">
        <v>9</v>
      </c>
      <c r="W30" s="6" t="s">
        <v>9</v>
      </c>
      <c r="X30" s="5" t="s">
        <v>7</v>
      </c>
      <c r="Y30" s="5" t="s">
        <v>7</v>
      </c>
      <c r="Z30" s="5" t="s">
        <v>7</v>
      </c>
      <c r="AA30" s="27" t="s">
        <v>34</v>
      </c>
      <c r="AB30" s="6" t="s">
        <v>8</v>
      </c>
      <c r="AC30" s="6" t="s">
        <v>8</v>
      </c>
      <c r="AD30" s="6" t="s">
        <v>9</v>
      </c>
      <c r="AE30" s="6" t="s">
        <v>9</v>
      </c>
      <c r="AF30" s="5" t="s">
        <v>7</v>
      </c>
      <c r="AG30" s="5" t="s">
        <v>7</v>
      </c>
      <c r="AH30" s="79" t="s">
        <v>34</v>
      </c>
      <c r="AI30" s="124">
        <v>6</v>
      </c>
      <c r="AJ30" s="124" cm="1">
        <f t="array" ref="AJ30">SUM(COUNTIF(E30:AH30,{"R/D","R/N"}))</f>
        <v>3</v>
      </c>
      <c r="AK30" s="124">
        <v>0</v>
      </c>
      <c r="AL30" s="124">
        <f t="shared" si="5"/>
        <v>42</v>
      </c>
    </row>
    <row r="31" spans="2:44" ht="15.75">
      <c r="B31" s="164"/>
      <c r="C31" s="28" t="s">
        <v>40</v>
      </c>
      <c r="D31" s="50">
        <v>19241</v>
      </c>
      <c r="E31" s="11" t="s">
        <v>8</v>
      </c>
      <c r="F31" s="6" t="s">
        <v>9</v>
      </c>
      <c r="G31" s="6" t="s">
        <v>9</v>
      </c>
      <c r="H31" s="27" t="s">
        <v>33</v>
      </c>
      <c r="I31" s="5" t="s">
        <v>7</v>
      </c>
      <c r="J31" s="5" t="s">
        <v>7</v>
      </c>
      <c r="K31" s="5" t="s">
        <v>7</v>
      </c>
      <c r="L31" s="6" t="s">
        <v>8</v>
      </c>
      <c r="M31" s="6" t="s">
        <v>8</v>
      </c>
      <c r="N31" s="6" t="s">
        <v>9</v>
      </c>
      <c r="O31" s="6" t="s">
        <v>9</v>
      </c>
      <c r="P31" s="5" t="s">
        <v>7</v>
      </c>
      <c r="Q31" s="5" t="s">
        <v>7</v>
      </c>
      <c r="R31" s="27" t="s">
        <v>34</v>
      </c>
      <c r="S31" s="5" t="s">
        <v>7</v>
      </c>
      <c r="T31" s="6" t="s">
        <v>8</v>
      </c>
      <c r="U31" s="12" t="s">
        <v>10</v>
      </c>
      <c r="V31" s="12" t="s">
        <v>10</v>
      </c>
      <c r="W31" s="6" t="s">
        <v>9</v>
      </c>
      <c r="X31" s="5" t="s">
        <v>7</v>
      </c>
      <c r="Y31" s="5" t="s">
        <v>7</v>
      </c>
      <c r="Z31" s="27" t="s">
        <v>33</v>
      </c>
      <c r="AA31" s="5" t="s">
        <v>7</v>
      </c>
      <c r="AB31" s="6" t="s">
        <v>8</v>
      </c>
      <c r="AC31" s="6" t="s">
        <v>8</v>
      </c>
      <c r="AD31" s="6" t="s">
        <v>9</v>
      </c>
      <c r="AE31" s="6" t="s">
        <v>9</v>
      </c>
      <c r="AF31" s="5" t="s">
        <v>7</v>
      </c>
      <c r="AG31" s="5" t="s">
        <v>7</v>
      </c>
      <c r="AH31" s="73" t="s">
        <v>7</v>
      </c>
      <c r="AI31" s="124">
        <v>8</v>
      </c>
      <c r="AJ31" s="124" cm="1">
        <f t="array" ref="AJ31">SUM(COUNTIF(E31:AH31,{"R/D","R/N"}))</f>
        <v>3</v>
      </c>
      <c r="AK31" s="124">
        <v>0</v>
      </c>
      <c r="AL31" s="124">
        <f t="shared" si="5"/>
        <v>44</v>
      </c>
    </row>
    <row r="32" spans="2:44" ht="16.5" thickBot="1">
      <c r="B32" s="165"/>
      <c r="C32" s="29" t="s">
        <v>41</v>
      </c>
      <c r="D32" s="55">
        <v>18054</v>
      </c>
      <c r="E32" s="14" t="s">
        <v>8</v>
      </c>
      <c r="F32" s="9" t="s">
        <v>9</v>
      </c>
      <c r="G32" s="9" t="s">
        <v>9</v>
      </c>
      <c r="H32" s="8" t="s">
        <v>7</v>
      </c>
      <c r="I32" s="37" t="s">
        <v>33</v>
      </c>
      <c r="J32" s="8" t="s">
        <v>7</v>
      </c>
      <c r="K32" s="8" t="s">
        <v>7</v>
      </c>
      <c r="L32" s="9" t="s">
        <v>8</v>
      </c>
      <c r="M32" s="9" t="s">
        <v>8</v>
      </c>
      <c r="N32" s="9" t="s">
        <v>9</v>
      </c>
      <c r="O32" s="9" t="s">
        <v>9</v>
      </c>
      <c r="P32" s="8" t="s">
        <v>7</v>
      </c>
      <c r="Q32" s="8" t="s">
        <v>7</v>
      </c>
      <c r="R32" s="8" t="s">
        <v>7</v>
      </c>
      <c r="S32" s="37" t="s">
        <v>34</v>
      </c>
      <c r="T32" s="9" t="s">
        <v>8</v>
      </c>
      <c r="U32" s="9" t="s">
        <v>8</v>
      </c>
      <c r="V32" s="9" t="s">
        <v>9</v>
      </c>
      <c r="W32" s="9" t="s">
        <v>9</v>
      </c>
      <c r="X32" s="8" t="s">
        <v>7</v>
      </c>
      <c r="Y32" s="8" t="s">
        <v>7</v>
      </c>
      <c r="Z32" s="8" t="s">
        <v>7</v>
      </c>
      <c r="AA32" s="8" t="s">
        <v>7</v>
      </c>
      <c r="AB32" s="96" t="s">
        <v>79</v>
      </c>
      <c r="AC32" s="96" t="s">
        <v>79</v>
      </c>
      <c r="AD32" s="9" t="s">
        <v>9</v>
      </c>
      <c r="AE32" s="9" t="s">
        <v>9</v>
      </c>
      <c r="AF32" s="8" t="s">
        <v>7</v>
      </c>
      <c r="AG32" s="8" t="s">
        <v>7</v>
      </c>
      <c r="AH32" s="74" t="s">
        <v>7</v>
      </c>
      <c r="AI32" s="124">
        <v>8</v>
      </c>
      <c r="AJ32" s="124" cm="1">
        <f t="array" ref="AJ32">SUM(COUNTIF(E32:AH32,{"R/D","R/N"}))</f>
        <v>2</v>
      </c>
      <c r="AK32" s="124">
        <v>0</v>
      </c>
      <c r="AL32" s="124">
        <f t="shared" si="5"/>
        <v>32</v>
      </c>
    </row>
    <row r="33" spans="2:38" ht="15.75">
      <c r="B33" s="164" t="s">
        <v>24</v>
      </c>
      <c r="C33" s="30" t="s">
        <v>42</v>
      </c>
      <c r="D33" s="50">
        <v>17978</v>
      </c>
      <c r="E33" s="10" t="s">
        <v>9</v>
      </c>
      <c r="F33" s="2" t="s">
        <v>7</v>
      </c>
      <c r="G33" s="70" t="s">
        <v>34</v>
      </c>
      <c r="H33" s="2" t="s">
        <v>7</v>
      </c>
      <c r="I33" s="2" t="s">
        <v>7</v>
      </c>
      <c r="J33" s="3" t="s">
        <v>8</v>
      </c>
      <c r="K33" s="3" t="s">
        <v>8</v>
      </c>
      <c r="L33" s="3" t="s">
        <v>9</v>
      </c>
      <c r="M33" s="3" t="s">
        <v>9</v>
      </c>
      <c r="N33" s="2" t="s">
        <v>7</v>
      </c>
      <c r="O33" s="2" t="s">
        <v>7</v>
      </c>
      <c r="P33" s="2" t="s">
        <v>7</v>
      </c>
      <c r="Q33" s="2" t="s">
        <v>7</v>
      </c>
      <c r="R33" s="3" t="s">
        <v>8</v>
      </c>
      <c r="S33" s="3" t="s">
        <v>8</v>
      </c>
      <c r="T33" s="3" t="s">
        <v>9</v>
      </c>
      <c r="U33" s="3" t="s">
        <v>9</v>
      </c>
      <c r="V33" s="2" t="s">
        <v>7</v>
      </c>
      <c r="W33" s="2" t="s">
        <v>7</v>
      </c>
      <c r="X33" s="2" t="s">
        <v>7</v>
      </c>
      <c r="Y33" s="70" t="s">
        <v>34</v>
      </c>
      <c r="Z33" s="3" t="s">
        <v>8</v>
      </c>
      <c r="AA33" s="3" t="s">
        <v>8</v>
      </c>
      <c r="AB33" s="3" t="s">
        <v>9</v>
      </c>
      <c r="AC33" s="3" t="s">
        <v>9</v>
      </c>
      <c r="AD33" s="2" t="s">
        <v>7</v>
      </c>
      <c r="AE33" s="2" t="s">
        <v>7</v>
      </c>
      <c r="AF33" s="2" t="s">
        <v>7</v>
      </c>
      <c r="AG33" s="2" t="s">
        <v>7</v>
      </c>
      <c r="AH33" s="41" t="s">
        <v>8</v>
      </c>
      <c r="AI33" s="124">
        <v>8</v>
      </c>
      <c r="AJ33" s="124" cm="1">
        <f t="array" ref="AJ33">SUM(COUNTIF(E33:AH33,{"R/D","R/N"}))</f>
        <v>2</v>
      </c>
      <c r="AK33" s="124">
        <v>0</v>
      </c>
      <c r="AL33" s="124">
        <f t="shared" si="5"/>
        <v>32</v>
      </c>
    </row>
    <row r="34" spans="2:38" ht="15.75">
      <c r="B34" s="164"/>
      <c r="C34" s="30" t="s">
        <v>43</v>
      </c>
      <c r="D34" s="50">
        <v>18401</v>
      </c>
      <c r="E34" s="107" t="s">
        <v>10</v>
      </c>
      <c r="F34" s="12" t="s">
        <v>10</v>
      </c>
      <c r="G34" s="13" t="s">
        <v>11</v>
      </c>
      <c r="H34" s="13" t="s">
        <v>11</v>
      </c>
      <c r="I34" s="12" t="s">
        <v>10</v>
      </c>
      <c r="J34" s="12" t="s">
        <v>10</v>
      </c>
      <c r="K34" s="12" t="s">
        <v>10</v>
      </c>
      <c r="L34" s="12" t="s">
        <v>10</v>
      </c>
      <c r="M34" s="12" t="s">
        <v>10</v>
      </c>
      <c r="N34" s="12" t="s">
        <v>10</v>
      </c>
      <c r="O34" s="13" t="s">
        <v>11</v>
      </c>
      <c r="P34" s="13" t="s">
        <v>11</v>
      </c>
      <c r="Q34" s="12" t="s">
        <v>10</v>
      </c>
      <c r="R34" s="6" t="s">
        <v>8</v>
      </c>
      <c r="S34" s="6" t="s">
        <v>8</v>
      </c>
      <c r="T34" s="6" t="s">
        <v>9</v>
      </c>
      <c r="U34" s="6" t="s">
        <v>9</v>
      </c>
      <c r="V34" s="5" t="s">
        <v>7</v>
      </c>
      <c r="W34" s="5" t="s">
        <v>7</v>
      </c>
      <c r="X34" s="27" t="s">
        <v>34</v>
      </c>
      <c r="Y34" s="5" t="s">
        <v>7</v>
      </c>
      <c r="Z34" s="6" t="s">
        <v>8</v>
      </c>
      <c r="AA34" s="6" t="s">
        <v>8</v>
      </c>
      <c r="AB34" s="6" t="s">
        <v>9</v>
      </c>
      <c r="AC34" s="6" t="s">
        <v>9</v>
      </c>
      <c r="AD34" s="5" t="s">
        <v>7</v>
      </c>
      <c r="AE34" s="5" t="s">
        <v>7</v>
      </c>
      <c r="AF34" s="5" t="s">
        <v>7</v>
      </c>
      <c r="AG34" s="5" t="s">
        <v>7</v>
      </c>
      <c r="AH34" s="42" t="s">
        <v>8</v>
      </c>
      <c r="AI34" s="124">
        <v>4</v>
      </c>
      <c r="AJ34" s="124" cm="1">
        <f t="array" ref="AJ34">SUM(COUNTIF(E34:AH34,{"R/D","R/N"}))</f>
        <v>1</v>
      </c>
      <c r="AK34" s="124">
        <v>0</v>
      </c>
      <c r="AL34" s="124">
        <f t="shared" si="5"/>
        <v>16</v>
      </c>
    </row>
    <row r="35" spans="2:38" ht="15.75">
      <c r="B35" s="164"/>
      <c r="C35" s="21" t="s">
        <v>44</v>
      </c>
      <c r="D35" s="49">
        <v>39305</v>
      </c>
      <c r="E35" s="11" t="s">
        <v>9</v>
      </c>
      <c r="F35" s="5" t="s">
        <v>7</v>
      </c>
      <c r="G35" s="5" t="s">
        <v>7</v>
      </c>
      <c r="H35" s="5" t="s">
        <v>7</v>
      </c>
      <c r="I35" s="5" t="s">
        <v>7</v>
      </c>
      <c r="J35" s="6" t="s">
        <v>8</v>
      </c>
      <c r="K35" s="6" t="s">
        <v>8</v>
      </c>
      <c r="L35" s="6" t="s">
        <v>9</v>
      </c>
      <c r="M35" s="6" t="s">
        <v>9</v>
      </c>
      <c r="N35" s="5" t="s">
        <v>7</v>
      </c>
      <c r="O35" s="27" t="s">
        <v>34</v>
      </c>
      <c r="P35" s="5" t="s">
        <v>7</v>
      </c>
      <c r="Q35" s="5" t="s">
        <v>7</v>
      </c>
      <c r="R35" s="6" t="s">
        <v>8</v>
      </c>
      <c r="S35" s="6" t="s">
        <v>8</v>
      </c>
      <c r="T35" s="6" t="s">
        <v>9</v>
      </c>
      <c r="U35" s="6" t="s">
        <v>9</v>
      </c>
      <c r="V35" s="27" t="s">
        <v>33</v>
      </c>
      <c r="W35" s="5" t="s">
        <v>7</v>
      </c>
      <c r="X35" s="5" t="s">
        <v>7</v>
      </c>
      <c r="Y35" s="5" t="s">
        <v>7</v>
      </c>
      <c r="Z35" s="6" t="s">
        <v>8</v>
      </c>
      <c r="AA35" s="6" t="s">
        <v>8</v>
      </c>
      <c r="AB35" s="89" t="s">
        <v>79</v>
      </c>
      <c r="AC35" s="89" t="s">
        <v>79</v>
      </c>
      <c r="AD35" s="5" t="s">
        <v>7</v>
      </c>
      <c r="AE35" s="5" t="s">
        <v>7</v>
      </c>
      <c r="AF35" s="5" t="s">
        <v>7</v>
      </c>
      <c r="AG35" s="5" t="s">
        <v>7</v>
      </c>
      <c r="AH35" s="42" t="s">
        <v>8</v>
      </c>
      <c r="AI35" s="124">
        <v>8</v>
      </c>
      <c r="AJ35" s="124" cm="1">
        <f t="array" ref="AJ35">SUM(COUNTIF(E35:AH35,{"R/D","R/N"}))</f>
        <v>2</v>
      </c>
      <c r="AK35" s="124">
        <v>0</v>
      </c>
      <c r="AL35" s="124">
        <f t="shared" si="5"/>
        <v>32</v>
      </c>
    </row>
    <row r="36" spans="2:38" ht="15.75">
      <c r="B36" s="164"/>
      <c r="C36" s="21" t="s">
        <v>45</v>
      </c>
      <c r="D36" s="49">
        <v>39057</v>
      </c>
      <c r="E36" s="11" t="s">
        <v>9</v>
      </c>
      <c r="F36" s="5" t="s">
        <v>7</v>
      </c>
      <c r="G36" s="27" t="s">
        <v>33</v>
      </c>
      <c r="H36" s="5" t="s">
        <v>7</v>
      </c>
      <c r="I36" s="5" t="s">
        <v>7</v>
      </c>
      <c r="J36" s="6" t="s">
        <v>8</v>
      </c>
      <c r="K36" s="6" t="s">
        <v>8</v>
      </c>
      <c r="L36" s="6" t="s">
        <v>9</v>
      </c>
      <c r="M36" s="6" t="s">
        <v>9</v>
      </c>
      <c r="N36" s="5" t="s">
        <v>7</v>
      </c>
      <c r="O36" s="5" t="s">
        <v>7</v>
      </c>
      <c r="P36" s="5" t="s">
        <v>7</v>
      </c>
      <c r="Q36" s="5" t="s">
        <v>7</v>
      </c>
      <c r="R36" s="12" t="s">
        <v>10</v>
      </c>
      <c r="S36" s="12" t="s">
        <v>10</v>
      </c>
      <c r="T36" s="12" t="s">
        <v>10</v>
      </c>
      <c r="U36" s="12" t="s">
        <v>10</v>
      </c>
      <c r="V36" s="12" t="s">
        <v>10</v>
      </c>
      <c r="W36" s="13" t="s">
        <v>11</v>
      </c>
      <c r="X36" s="13" t="s">
        <v>11</v>
      </c>
      <c r="Y36" s="12" t="s">
        <v>10</v>
      </c>
      <c r="Z36" s="12" t="s">
        <v>10</v>
      </c>
      <c r="AA36" s="12" t="s">
        <v>10</v>
      </c>
      <c r="AB36" s="12" t="s">
        <v>10</v>
      </c>
      <c r="AC36" s="12" t="s">
        <v>10</v>
      </c>
      <c r="AD36" s="13" t="s">
        <v>11</v>
      </c>
      <c r="AE36" s="13" t="s">
        <v>11</v>
      </c>
      <c r="AF36" s="12" t="s">
        <v>10</v>
      </c>
      <c r="AG36" s="12" t="s">
        <v>10</v>
      </c>
      <c r="AH36" s="99" t="s">
        <v>10</v>
      </c>
      <c r="AI36" s="124">
        <v>4</v>
      </c>
      <c r="AJ36" s="124" cm="1">
        <f t="array" ref="AJ36">SUM(COUNTIF(E36:AH36,{"R/D","R/N"}))</f>
        <v>1</v>
      </c>
      <c r="AK36" s="124">
        <v>0</v>
      </c>
      <c r="AL36" s="124">
        <f t="shared" si="5"/>
        <v>16</v>
      </c>
    </row>
    <row r="37" spans="2:38" ht="16.5" thickBot="1">
      <c r="B37" s="165"/>
      <c r="C37" s="100" t="s">
        <v>74</v>
      </c>
      <c r="D37" s="119">
        <v>41340</v>
      </c>
      <c r="E37" s="14" t="s">
        <v>90</v>
      </c>
      <c r="F37" s="8" t="s">
        <v>7</v>
      </c>
      <c r="G37" s="8" t="s">
        <v>7</v>
      </c>
      <c r="H37" s="8" t="s">
        <v>7</v>
      </c>
      <c r="I37" s="8" t="s">
        <v>7</v>
      </c>
      <c r="J37" s="9" t="s">
        <v>91</v>
      </c>
      <c r="K37" s="9" t="s">
        <v>91</v>
      </c>
      <c r="L37" s="9" t="s">
        <v>90</v>
      </c>
      <c r="M37" s="9" t="s">
        <v>90</v>
      </c>
      <c r="N37" s="8" t="s">
        <v>7</v>
      </c>
      <c r="O37" s="8" t="s">
        <v>7</v>
      </c>
      <c r="P37" s="8" t="s">
        <v>7</v>
      </c>
      <c r="Q37" s="8" t="s">
        <v>7</v>
      </c>
      <c r="R37" s="9" t="s">
        <v>91</v>
      </c>
      <c r="S37" s="9" t="s">
        <v>91</v>
      </c>
      <c r="T37" s="9" t="s">
        <v>90</v>
      </c>
      <c r="U37" s="9" t="s">
        <v>90</v>
      </c>
      <c r="V37" s="8" t="s">
        <v>7</v>
      </c>
      <c r="W37" s="8" t="s">
        <v>7</v>
      </c>
      <c r="X37" s="8" t="s">
        <v>7</v>
      </c>
      <c r="Y37" s="8" t="s">
        <v>7</v>
      </c>
      <c r="Z37" s="9" t="s">
        <v>91</v>
      </c>
      <c r="AA37" s="9" t="s">
        <v>91</v>
      </c>
      <c r="AB37" s="9" t="s">
        <v>90</v>
      </c>
      <c r="AC37" s="9" t="s">
        <v>90</v>
      </c>
      <c r="AD37" s="8" t="s">
        <v>7</v>
      </c>
      <c r="AE37" s="8" t="s">
        <v>7</v>
      </c>
      <c r="AF37" s="8" t="s">
        <v>7</v>
      </c>
      <c r="AG37" s="8" t="s">
        <v>7</v>
      </c>
      <c r="AH37" s="71" t="s">
        <v>91</v>
      </c>
      <c r="AI37" s="124">
        <v>8</v>
      </c>
      <c r="AJ37" s="124" cm="1">
        <f t="array" ref="AJ37">SUM(COUNTIF(E37:AH37,{"R/D","R/N"}))</f>
        <v>0</v>
      </c>
      <c r="AK37" s="124">
        <v>0</v>
      </c>
      <c r="AL37" s="124">
        <f t="shared" si="5"/>
        <v>8</v>
      </c>
    </row>
    <row r="38" spans="2:38" ht="15.75">
      <c r="B38" s="163" t="s">
        <v>8</v>
      </c>
      <c r="C38" s="23" t="s">
        <v>46</v>
      </c>
      <c r="D38" s="57">
        <v>35082</v>
      </c>
      <c r="E38" s="94" t="s">
        <v>33</v>
      </c>
      <c r="F38" s="2" t="s">
        <v>7</v>
      </c>
      <c r="G38" s="2" t="s">
        <v>7</v>
      </c>
      <c r="H38" s="3" t="s">
        <v>8</v>
      </c>
      <c r="I38" s="3" t="s">
        <v>8</v>
      </c>
      <c r="J38" s="3" t="s">
        <v>9</v>
      </c>
      <c r="K38" s="3" t="s">
        <v>9</v>
      </c>
      <c r="L38" s="2" t="s">
        <v>7</v>
      </c>
      <c r="M38" s="2" t="s">
        <v>7</v>
      </c>
      <c r="N38" s="70" t="s">
        <v>34</v>
      </c>
      <c r="O38" s="2" t="s">
        <v>7</v>
      </c>
      <c r="P38" s="3" t="s">
        <v>8</v>
      </c>
      <c r="Q38" s="3" t="s">
        <v>8</v>
      </c>
      <c r="R38" s="3" t="s">
        <v>9</v>
      </c>
      <c r="S38" s="3" t="s">
        <v>9</v>
      </c>
      <c r="T38" s="2" t="s">
        <v>7</v>
      </c>
      <c r="U38" s="70" t="s">
        <v>33</v>
      </c>
      <c r="V38" s="2" t="s">
        <v>7</v>
      </c>
      <c r="W38" s="2" t="s">
        <v>7</v>
      </c>
      <c r="X38" s="3" t="s">
        <v>8</v>
      </c>
      <c r="Y38" s="3" t="s">
        <v>8</v>
      </c>
      <c r="Z38" s="3" t="s">
        <v>9</v>
      </c>
      <c r="AA38" s="3" t="s">
        <v>9</v>
      </c>
      <c r="AB38" s="70" t="s">
        <v>33</v>
      </c>
      <c r="AC38" s="70" t="s">
        <v>33</v>
      </c>
      <c r="AD38" s="2" t="s">
        <v>7</v>
      </c>
      <c r="AE38" s="2" t="s">
        <v>7</v>
      </c>
      <c r="AF38" s="3" t="s">
        <v>8</v>
      </c>
      <c r="AG38" s="3" t="s">
        <v>8</v>
      </c>
      <c r="AH38" s="41" t="s">
        <v>9</v>
      </c>
      <c r="AI38" s="124">
        <v>6</v>
      </c>
      <c r="AJ38" s="124" cm="1">
        <f t="array" ref="AJ38">SUM(COUNTIF(E38:AH38,{"R/D","R/N"}))</f>
        <v>5</v>
      </c>
      <c r="AK38" s="124">
        <v>0</v>
      </c>
      <c r="AL38" s="124">
        <f t="shared" si="5"/>
        <v>66</v>
      </c>
    </row>
    <row r="39" spans="2:38" ht="15.75">
      <c r="B39" s="164"/>
      <c r="C39" s="24" t="s">
        <v>47</v>
      </c>
      <c r="D39" s="49">
        <v>36155</v>
      </c>
      <c r="E39" s="4" t="s">
        <v>7</v>
      </c>
      <c r="F39" s="27" t="s">
        <v>34</v>
      </c>
      <c r="G39" s="5" t="s">
        <v>7</v>
      </c>
      <c r="H39" s="6" t="s">
        <v>8</v>
      </c>
      <c r="I39" s="6" t="s">
        <v>8</v>
      </c>
      <c r="J39" s="6" t="s">
        <v>9</v>
      </c>
      <c r="K39" s="6" t="s">
        <v>9</v>
      </c>
      <c r="L39" s="27" t="s">
        <v>33</v>
      </c>
      <c r="M39" s="5" t="s">
        <v>7</v>
      </c>
      <c r="N39" s="5" t="s">
        <v>7</v>
      </c>
      <c r="O39" s="5" t="s">
        <v>7</v>
      </c>
      <c r="P39" s="6" t="s">
        <v>8</v>
      </c>
      <c r="Q39" s="6" t="s">
        <v>8</v>
      </c>
      <c r="R39" s="6" t="s">
        <v>9</v>
      </c>
      <c r="S39" s="6" t="s">
        <v>9</v>
      </c>
      <c r="T39" s="5" t="s">
        <v>7</v>
      </c>
      <c r="U39" s="5" t="s">
        <v>7</v>
      </c>
      <c r="V39" s="5" t="s">
        <v>7</v>
      </c>
      <c r="W39" s="5" t="s">
        <v>7</v>
      </c>
      <c r="X39" s="12" t="s">
        <v>10</v>
      </c>
      <c r="Y39" s="12" t="s">
        <v>10</v>
      </c>
      <c r="Z39" s="12" t="s">
        <v>10</v>
      </c>
      <c r="AA39" s="12" t="s">
        <v>10</v>
      </c>
      <c r="AB39" s="12" t="s">
        <v>10</v>
      </c>
      <c r="AC39" s="13" t="s">
        <v>11</v>
      </c>
      <c r="AD39" s="13" t="s">
        <v>11</v>
      </c>
      <c r="AE39" s="12" t="s">
        <v>10</v>
      </c>
      <c r="AF39" s="6" t="s">
        <v>8</v>
      </c>
      <c r="AG39" s="6" t="s">
        <v>8</v>
      </c>
      <c r="AH39" s="42" t="s">
        <v>9</v>
      </c>
      <c r="AI39" s="124">
        <v>4</v>
      </c>
      <c r="AJ39" s="124" cm="1">
        <f t="array" ref="AJ39">SUM(COUNTIF(E39:AH39,{"R/D","R/N"}))</f>
        <v>2</v>
      </c>
      <c r="AK39" s="124">
        <v>0</v>
      </c>
      <c r="AL39" s="124">
        <f t="shared" si="5"/>
        <v>28</v>
      </c>
    </row>
    <row r="40" spans="2:38" ht="15.75">
      <c r="B40" s="164"/>
      <c r="C40" s="24" t="s">
        <v>62</v>
      </c>
      <c r="D40" s="56">
        <v>39035</v>
      </c>
      <c r="E40" s="4" t="s">
        <v>7</v>
      </c>
      <c r="F40" s="5" t="s">
        <v>7</v>
      </c>
      <c r="G40" s="5" t="s">
        <v>7</v>
      </c>
      <c r="H40" s="6" t="s">
        <v>8</v>
      </c>
      <c r="I40" s="6" t="s">
        <v>8</v>
      </c>
      <c r="J40" s="6" t="s">
        <v>9</v>
      </c>
      <c r="K40" s="6" t="s">
        <v>9</v>
      </c>
      <c r="L40" s="5" t="s">
        <v>7</v>
      </c>
      <c r="M40" s="5" t="s">
        <v>7</v>
      </c>
      <c r="N40" s="5" t="s">
        <v>7</v>
      </c>
      <c r="O40" s="5" t="s">
        <v>7</v>
      </c>
      <c r="P40" s="6" t="s">
        <v>8</v>
      </c>
      <c r="Q40" s="6" t="s">
        <v>8</v>
      </c>
      <c r="R40" s="6" t="s">
        <v>9</v>
      </c>
      <c r="S40" s="6" t="s">
        <v>9</v>
      </c>
      <c r="T40" s="5" t="s">
        <v>7</v>
      </c>
      <c r="U40" s="5" t="s">
        <v>7</v>
      </c>
      <c r="V40" s="5" t="s">
        <v>7</v>
      </c>
      <c r="W40" s="5" t="s">
        <v>7</v>
      </c>
      <c r="X40" s="6" t="s">
        <v>8</v>
      </c>
      <c r="Y40" s="6" t="s">
        <v>8</v>
      </c>
      <c r="Z40" s="6" t="s">
        <v>9</v>
      </c>
      <c r="AA40" s="6" t="s">
        <v>9</v>
      </c>
      <c r="AB40" s="5" t="s">
        <v>7</v>
      </c>
      <c r="AC40" s="5" t="s">
        <v>7</v>
      </c>
      <c r="AD40" s="5" t="s">
        <v>7</v>
      </c>
      <c r="AE40" s="5" t="s">
        <v>7</v>
      </c>
      <c r="AF40" s="6" t="s">
        <v>8</v>
      </c>
      <c r="AG40" s="6" t="s">
        <v>8</v>
      </c>
      <c r="AH40" s="42" t="s">
        <v>9</v>
      </c>
      <c r="AI40" s="124">
        <v>6</v>
      </c>
      <c r="AJ40" s="124" cm="1">
        <f t="array" ref="AJ40">SUM(COUNTIF(E40:AH40,{"R/D","R/N"}))</f>
        <v>0</v>
      </c>
      <c r="AK40" s="124">
        <v>0</v>
      </c>
      <c r="AL40" s="124">
        <f t="shared" si="5"/>
        <v>6</v>
      </c>
    </row>
    <row r="41" spans="2:38" ht="16.5" thickBot="1">
      <c r="B41" s="165"/>
      <c r="C41" s="25" t="s">
        <v>48</v>
      </c>
      <c r="D41" s="55">
        <v>39021</v>
      </c>
      <c r="E41" s="7" t="s">
        <v>7</v>
      </c>
      <c r="F41" s="27" t="s">
        <v>33</v>
      </c>
      <c r="G41" s="8" t="s">
        <v>7</v>
      </c>
      <c r="H41" s="9" t="s">
        <v>8</v>
      </c>
      <c r="I41" s="9" t="s">
        <v>8</v>
      </c>
      <c r="J41" s="9" t="s">
        <v>9</v>
      </c>
      <c r="K41" s="9" t="s">
        <v>9</v>
      </c>
      <c r="L41" s="8" t="s">
        <v>7</v>
      </c>
      <c r="M41" s="37" t="s">
        <v>33</v>
      </c>
      <c r="N41" s="8" t="s">
        <v>7</v>
      </c>
      <c r="O41" s="8" t="s">
        <v>7</v>
      </c>
      <c r="P41" s="9" t="s">
        <v>8</v>
      </c>
      <c r="Q41" s="9" t="s">
        <v>8</v>
      </c>
      <c r="R41" s="9" t="s">
        <v>9</v>
      </c>
      <c r="S41" s="9" t="s">
        <v>9</v>
      </c>
      <c r="T41" s="8" t="s">
        <v>7</v>
      </c>
      <c r="U41" s="8" t="s">
        <v>7</v>
      </c>
      <c r="V41" s="8" t="s">
        <v>7</v>
      </c>
      <c r="W41" s="8" t="s">
        <v>7</v>
      </c>
      <c r="X41" s="9" t="s">
        <v>8</v>
      </c>
      <c r="Y41" s="9" t="s">
        <v>8</v>
      </c>
      <c r="Z41" s="9" t="s">
        <v>9</v>
      </c>
      <c r="AA41" s="9" t="s">
        <v>9</v>
      </c>
      <c r="AB41" s="37" t="s">
        <v>33</v>
      </c>
      <c r="AC41" s="37" t="s">
        <v>33</v>
      </c>
      <c r="AD41" s="8" t="s">
        <v>7</v>
      </c>
      <c r="AE41" s="8" t="s">
        <v>7</v>
      </c>
      <c r="AF41" s="9" t="s">
        <v>8</v>
      </c>
      <c r="AG41" s="9" t="s">
        <v>8</v>
      </c>
      <c r="AH41" s="71" t="s">
        <v>9</v>
      </c>
      <c r="AI41" s="124">
        <v>6</v>
      </c>
      <c r="AJ41" s="124" cm="1">
        <f t="array" ref="AJ41">SUM(COUNTIF(E41:AH41,{"R/D","R/N"}))</f>
        <v>4</v>
      </c>
      <c r="AK41" s="124">
        <v>0</v>
      </c>
      <c r="AL41" s="124">
        <f t="shared" si="5"/>
        <v>54</v>
      </c>
    </row>
    <row r="42" spans="2:38">
      <c r="D42" s="46" t="s">
        <v>8</v>
      </c>
      <c r="E42" s="45">
        <f>COUNTIF(E25:E41,"D")+COUNTIF(E25:E41,"R/D")</f>
        <v>4</v>
      </c>
      <c r="F42" s="45">
        <f>COUNTIF(F25:F41,"D")+COUNTIF(F25:F41,"R/D")</f>
        <v>4</v>
      </c>
      <c r="G42" s="45">
        <f t="shared" ref="G42:AH42" si="6">COUNTIF(G25:G41,"D")+COUNTIF(G25:G41,"R/D")</f>
        <v>4</v>
      </c>
      <c r="H42" s="45">
        <f t="shared" si="6"/>
        <v>4</v>
      </c>
      <c r="I42" s="45">
        <f t="shared" si="6"/>
        <v>4</v>
      </c>
      <c r="J42" s="45">
        <f t="shared" si="6"/>
        <v>4</v>
      </c>
      <c r="K42" s="45">
        <f>COUNTIF(K25:K41,"D")+COUNTIF(K25:K41,"R/D")</f>
        <v>4</v>
      </c>
      <c r="L42" s="45">
        <f t="shared" si="6"/>
        <v>4</v>
      </c>
      <c r="M42" s="45">
        <f t="shared" si="6"/>
        <v>4</v>
      </c>
      <c r="N42" s="45">
        <f t="shared" si="6"/>
        <v>4</v>
      </c>
      <c r="O42" s="45">
        <f t="shared" si="6"/>
        <v>4</v>
      </c>
      <c r="P42" s="45">
        <f t="shared" si="6"/>
        <v>4</v>
      </c>
      <c r="Q42" s="45">
        <f t="shared" si="6"/>
        <v>4</v>
      </c>
      <c r="R42" s="45">
        <f t="shared" si="6"/>
        <v>4</v>
      </c>
      <c r="S42" s="45">
        <f t="shared" si="6"/>
        <v>4</v>
      </c>
      <c r="T42" s="45">
        <f t="shared" si="6"/>
        <v>4</v>
      </c>
      <c r="U42" s="45">
        <f t="shared" si="6"/>
        <v>4</v>
      </c>
      <c r="V42" s="45">
        <f t="shared" si="6"/>
        <v>4</v>
      </c>
      <c r="W42" s="45">
        <f t="shared" si="6"/>
        <v>4</v>
      </c>
      <c r="X42" s="45">
        <f t="shared" si="6"/>
        <v>4</v>
      </c>
      <c r="Y42" s="45">
        <f t="shared" si="6"/>
        <v>4</v>
      </c>
      <c r="Z42" s="45">
        <f t="shared" si="6"/>
        <v>4</v>
      </c>
      <c r="AA42" s="45">
        <f t="shared" si="6"/>
        <v>4</v>
      </c>
      <c r="AB42" s="45">
        <f t="shared" si="6"/>
        <v>4</v>
      </c>
      <c r="AC42" s="45">
        <f t="shared" si="6"/>
        <v>4</v>
      </c>
      <c r="AD42" s="45">
        <f t="shared" si="6"/>
        <v>4</v>
      </c>
      <c r="AE42" s="45">
        <f t="shared" si="6"/>
        <v>4</v>
      </c>
      <c r="AF42" s="45">
        <f t="shared" si="6"/>
        <v>4</v>
      </c>
      <c r="AG42" s="45">
        <f t="shared" si="6"/>
        <v>4</v>
      </c>
      <c r="AH42" s="45">
        <f t="shared" si="6"/>
        <v>4</v>
      </c>
      <c r="AI42" s="125">
        <f>SUM(AI25:AI41)</f>
        <v>112</v>
      </c>
      <c r="AJ42" s="125">
        <f t="shared" ref="AJ42:AL42" si="7">SUM(AJ25:AJ41)</f>
        <v>37</v>
      </c>
      <c r="AK42" s="125">
        <f t="shared" si="7"/>
        <v>2</v>
      </c>
      <c r="AL42" s="125">
        <f t="shared" si="7"/>
        <v>572</v>
      </c>
    </row>
    <row r="43" spans="2:38">
      <c r="D43" s="47" t="s">
        <v>9</v>
      </c>
      <c r="E43" s="44">
        <f>COUNTIF(E25:E41,"N")+COUNTIF(E25:E41,"R/N")</f>
        <v>4</v>
      </c>
      <c r="F43" s="44">
        <f>COUNTIF(F25:F41,"N")+COUNTIF(F25:F41,"R/N")</f>
        <v>4</v>
      </c>
      <c r="G43" s="44">
        <f t="shared" ref="G43:AH43" si="8">COUNTIF(G25:G41,"N")+COUNTIF(G25:G41,"R/N")</f>
        <v>4</v>
      </c>
      <c r="H43" s="44">
        <f t="shared" si="8"/>
        <v>4</v>
      </c>
      <c r="I43" s="44">
        <f t="shared" si="8"/>
        <v>4</v>
      </c>
      <c r="J43" s="44">
        <f t="shared" si="8"/>
        <v>4</v>
      </c>
      <c r="K43" s="44">
        <f t="shared" si="8"/>
        <v>4</v>
      </c>
      <c r="L43" s="44">
        <f t="shared" si="8"/>
        <v>4</v>
      </c>
      <c r="M43" s="44">
        <f t="shared" si="8"/>
        <v>4</v>
      </c>
      <c r="N43" s="44">
        <f t="shared" si="8"/>
        <v>4</v>
      </c>
      <c r="O43" s="44">
        <f t="shared" si="8"/>
        <v>4</v>
      </c>
      <c r="P43" s="44">
        <f t="shared" si="8"/>
        <v>4</v>
      </c>
      <c r="Q43" s="44">
        <f t="shared" si="8"/>
        <v>4</v>
      </c>
      <c r="R43" s="44">
        <f t="shared" si="8"/>
        <v>4</v>
      </c>
      <c r="S43" s="44">
        <f t="shared" si="8"/>
        <v>4</v>
      </c>
      <c r="T43" s="44">
        <f t="shared" si="8"/>
        <v>4</v>
      </c>
      <c r="U43" s="44">
        <f t="shared" si="8"/>
        <v>4</v>
      </c>
      <c r="V43" s="44">
        <f t="shared" si="8"/>
        <v>4</v>
      </c>
      <c r="W43" s="44">
        <f t="shared" si="8"/>
        <v>4</v>
      </c>
      <c r="X43" s="44">
        <f t="shared" si="8"/>
        <v>4</v>
      </c>
      <c r="Y43" s="44">
        <f t="shared" si="8"/>
        <v>4</v>
      </c>
      <c r="Z43" s="44">
        <f t="shared" si="8"/>
        <v>4</v>
      </c>
      <c r="AA43" s="44">
        <f t="shared" si="8"/>
        <v>4</v>
      </c>
      <c r="AB43" s="44">
        <f t="shared" si="8"/>
        <v>4</v>
      </c>
      <c r="AC43" s="44">
        <f t="shared" si="8"/>
        <v>4</v>
      </c>
      <c r="AD43" s="44">
        <f t="shared" si="8"/>
        <v>4</v>
      </c>
      <c r="AE43" s="44">
        <f t="shared" si="8"/>
        <v>4</v>
      </c>
      <c r="AF43" s="44">
        <f t="shared" si="8"/>
        <v>4</v>
      </c>
      <c r="AG43" s="44">
        <f t="shared" si="8"/>
        <v>4</v>
      </c>
      <c r="AH43" s="44">
        <f t="shared" si="8"/>
        <v>4</v>
      </c>
      <c r="AI43" s="125"/>
      <c r="AJ43" s="125"/>
      <c r="AK43" s="125"/>
      <c r="AL43" s="125"/>
    </row>
    <row r="44" spans="2:38">
      <c r="D44" s="48" t="s">
        <v>7</v>
      </c>
      <c r="E44" s="44">
        <f>COUNTIF(E25:E41,"R")</f>
        <v>6</v>
      </c>
      <c r="F44" s="44">
        <f>COUNTIF(F25:F41,"R")</f>
        <v>6</v>
      </c>
      <c r="G44" s="44">
        <f t="shared" ref="G44:AH44" si="9">COUNTIF(G25:G41,"R")</f>
        <v>6</v>
      </c>
      <c r="H44" s="44">
        <f t="shared" si="9"/>
        <v>6</v>
      </c>
      <c r="I44" s="44">
        <f t="shared" si="9"/>
        <v>6</v>
      </c>
      <c r="J44" s="44">
        <f t="shared" si="9"/>
        <v>5</v>
      </c>
      <c r="K44" s="44">
        <f t="shared" si="9"/>
        <v>5</v>
      </c>
      <c r="L44" s="44">
        <f t="shared" si="9"/>
        <v>6</v>
      </c>
      <c r="M44" s="44">
        <f t="shared" si="9"/>
        <v>6</v>
      </c>
      <c r="N44" s="44">
        <f t="shared" si="9"/>
        <v>7</v>
      </c>
      <c r="O44" s="44">
        <f t="shared" si="9"/>
        <v>7</v>
      </c>
      <c r="P44" s="44">
        <f t="shared" si="9"/>
        <v>7</v>
      </c>
      <c r="Q44" s="44">
        <f t="shared" si="9"/>
        <v>7</v>
      </c>
      <c r="R44" s="44">
        <f t="shared" si="9"/>
        <v>6</v>
      </c>
      <c r="S44" s="44">
        <f t="shared" si="9"/>
        <v>6</v>
      </c>
      <c r="T44" s="44">
        <f t="shared" si="9"/>
        <v>6</v>
      </c>
      <c r="U44" s="44">
        <f t="shared" si="9"/>
        <v>5</v>
      </c>
      <c r="V44" s="44">
        <f t="shared" si="9"/>
        <v>7</v>
      </c>
      <c r="W44" s="44">
        <f t="shared" si="9"/>
        <v>8</v>
      </c>
      <c r="X44" s="44">
        <f t="shared" si="9"/>
        <v>7</v>
      </c>
      <c r="Y44" s="44">
        <f t="shared" si="9"/>
        <v>7</v>
      </c>
      <c r="Z44" s="44">
        <f t="shared" si="9"/>
        <v>6</v>
      </c>
      <c r="AA44" s="44">
        <f t="shared" si="9"/>
        <v>6</v>
      </c>
      <c r="AB44" s="44">
        <f t="shared" si="9"/>
        <v>2</v>
      </c>
      <c r="AC44" s="44">
        <f t="shared" si="9"/>
        <v>2</v>
      </c>
      <c r="AD44" s="44">
        <f t="shared" si="9"/>
        <v>7</v>
      </c>
      <c r="AE44" s="44">
        <f t="shared" si="9"/>
        <v>7</v>
      </c>
      <c r="AF44" s="44">
        <f t="shared" si="9"/>
        <v>8</v>
      </c>
      <c r="AG44" s="44">
        <f>COUNTIF(AG25:AG41,"R")</f>
        <v>8</v>
      </c>
      <c r="AH44" s="44">
        <f t="shared" si="9"/>
        <v>7</v>
      </c>
      <c r="AI44" s="125"/>
      <c r="AJ44" s="125">
        <f>AJ42*12-12*6</f>
        <v>372</v>
      </c>
      <c r="AK44" s="125"/>
      <c r="AL44" s="125"/>
    </row>
  </sheetData>
  <mergeCells count="25">
    <mergeCell ref="AO14:AO19"/>
    <mergeCell ref="AR14:AR19"/>
    <mergeCell ref="B38:B41"/>
    <mergeCell ref="B22:D22"/>
    <mergeCell ref="E22:AH22"/>
    <mergeCell ref="B23:D23"/>
    <mergeCell ref="B25:B28"/>
    <mergeCell ref="B29:B32"/>
    <mergeCell ref="B33:B37"/>
    <mergeCell ref="AN20:AN21"/>
    <mergeCell ref="AO20:AO21"/>
    <mergeCell ref="AR20:AR21"/>
    <mergeCell ref="B14:B16"/>
    <mergeCell ref="AN14:AN19"/>
    <mergeCell ref="B3:D3"/>
    <mergeCell ref="E3:AH3"/>
    <mergeCell ref="B4:D4"/>
    <mergeCell ref="B6:B8"/>
    <mergeCell ref="AN7:AR7"/>
    <mergeCell ref="B9:B10"/>
    <mergeCell ref="AN9:AN13"/>
    <mergeCell ref="AO9:AO13"/>
    <mergeCell ref="AQ9:AQ13"/>
    <mergeCell ref="AR9:AR13"/>
    <mergeCell ref="B11:B13"/>
  </mergeCells>
  <conditionalFormatting sqref="E17:H17 J17:Q17 S17:Y17 AA17:AI17">
    <cfRule type="cellIs" dxfId="20" priority="3" operator="equal">
      <formula>"R/D"</formula>
    </cfRule>
  </conditionalFormatting>
  <conditionalFormatting sqref="E6:I6 K6:AL6 E7:AI7 AJ7:AK17 AL7:AL18 E8:J8 L8:R8 T8:Z8 AB8:AI8 E9:H9 J9:W9 Y9:AI9 E10:P10 R10:X10">
    <cfRule type="cellIs" dxfId="19" priority="17" operator="equal">
      <formula>"R/N"</formula>
    </cfRule>
    <cfRule type="cellIs" dxfId="18" priority="18" operator="equal">
      <formula>"R/D"</formula>
    </cfRule>
  </conditionalFormatting>
  <conditionalFormatting sqref="E14:AI16">
    <cfRule type="cellIs" dxfId="17" priority="4" operator="equal">
      <formula>"R/N"</formula>
    </cfRule>
    <cfRule type="cellIs" dxfId="16" priority="5" operator="equal">
      <formula>"R/D"</formula>
    </cfRule>
  </conditionalFormatting>
  <conditionalFormatting sqref="E18:AK18 E19:AL19">
    <cfRule type="cellIs" dxfId="15" priority="8" operator="lessThan">
      <formula>3</formula>
    </cfRule>
    <cfRule type="cellIs" dxfId="14" priority="9" operator="greaterThan">
      <formula>3</formula>
    </cfRule>
    <cfRule type="cellIs" dxfId="13" priority="14" operator="lessThan">
      <formula>2</formula>
    </cfRule>
    <cfRule type="cellIs" dxfId="12" priority="15" operator="lessThan">
      <formula>1</formula>
    </cfRule>
    <cfRule type="cellIs" dxfId="11" priority="16" operator="lessThan">
      <formula>2</formula>
    </cfRule>
  </conditionalFormatting>
  <conditionalFormatting sqref="E20:AL20">
    <cfRule type="cellIs" dxfId="10" priority="10" operator="lessThan">
      <formula>4</formula>
    </cfRule>
    <cfRule type="cellIs" dxfId="9" priority="11" operator="lessThan">
      <formula>1</formula>
    </cfRule>
    <cfRule type="cellIs" dxfId="8" priority="12" operator="lessThan">
      <formula>2</formula>
    </cfRule>
  </conditionalFormatting>
  <conditionalFormatting sqref="E42:AL43">
    <cfRule type="cellIs" dxfId="7" priority="19" operator="greaterThan">
      <formula>4</formula>
    </cfRule>
  </conditionalFormatting>
  <conditionalFormatting sqref="E42:AL44">
    <cfRule type="cellIs" dxfId="6" priority="20" operator="lessThan">
      <formula>4</formula>
    </cfRule>
    <cfRule type="cellIs" dxfId="5" priority="21" operator="lessThan">
      <formula>1</formula>
    </cfRule>
    <cfRule type="cellIs" dxfId="4" priority="22" operator="lessThan">
      <formula>2</formula>
    </cfRule>
  </conditionalFormatting>
  <conditionalFormatting sqref="Z10:AI11 E11:G11 I11:X11 E12:W12 Y12:AI12 E13:O13 Q13:AI13">
    <cfRule type="cellIs" dxfId="3" priority="6" operator="equal">
      <formula>"R/N"</formula>
    </cfRule>
    <cfRule type="cellIs" dxfId="2" priority="7" operator="equal">
      <formula>"R/D"</formula>
    </cfRule>
  </conditionalFormatting>
  <conditionalFormatting sqref="AJ25:AK41">
    <cfRule type="cellIs" dxfId="1" priority="1" operator="equal">
      <formula>"R/N"</formula>
    </cfRule>
    <cfRule type="cellIs" dxfId="0" priority="2" operator="equal">
      <formula>"R/D"</formula>
    </cfRule>
  </conditionalFormatting>
  <pageMargins left="0.7" right="0.7" top="0.75" bottom="0.75" header="0.3" footer="0.3"/>
  <pageSetup orientation="portrait" r:id="rId1"/>
  <headerFooter>
    <oddHeader>&amp;L&amp;"Calibri"&amp;10&amp;K000000CLASSIFICATION: C1 - CONTROLLED&amp;1#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book1</vt:lpstr>
      <vt:lpstr>Nov-24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Saugata Palit</dc:creator>
  <cp:lastModifiedBy>Munir Ahmad</cp:lastModifiedBy>
  <dcterms:created xsi:type="dcterms:W3CDTF">2024-05-23T10:31:40Z</dcterms:created>
  <dcterms:modified xsi:type="dcterms:W3CDTF">2025-08-05T11:44:07Z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edaf50a-78ed-480b-a2a3-10cc196ad946_Enabled">
    <vt:lpwstr>true</vt:lpwstr>
  </property>
  <property fmtid="{D5CDD505-2E9C-101B-9397-08002B2CF9AE}" pid="3" name="MSIP_Label_2edaf50a-78ed-480b-a2a3-10cc196ad946_SetDate">
    <vt:lpwstr>2024-11-21T06:19:14Z</vt:lpwstr>
  </property>
  <property fmtid="{D5CDD505-2E9C-101B-9397-08002B2CF9AE}" pid="4" name="MSIP_Label_2edaf50a-78ed-480b-a2a3-10cc196ad946_Method">
    <vt:lpwstr>Privileged</vt:lpwstr>
  </property>
  <property fmtid="{D5CDD505-2E9C-101B-9397-08002B2CF9AE}" pid="5" name="MSIP_Label_2edaf50a-78ed-480b-a2a3-10cc196ad946_Name">
    <vt:lpwstr>C1 - CONTROLLED</vt:lpwstr>
  </property>
  <property fmtid="{D5CDD505-2E9C-101B-9397-08002B2CF9AE}" pid="6" name="MSIP_Label_2edaf50a-78ed-480b-a2a3-10cc196ad946_SiteId">
    <vt:lpwstr>22e9f6b1-8d64-4327-9344-7495608a7368</vt:lpwstr>
  </property>
  <property fmtid="{D5CDD505-2E9C-101B-9397-08002B2CF9AE}" pid="7" name="MSIP_Label_2edaf50a-78ed-480b-a2a3-10cc196ad946_ActionId">
    <vt:lpwstr>e0669d57-e2eb-474b-b1a2-a143ca2f0b21</vt:lpwstr>
  </property>
  <property fmtid="{D5CDD505-2E9C-101B-9397-08002B2CF9AE}" pid="8" name="MSIP_Label_2edaf50a-78ed-480b-a2a3-10cc196ad946_ContentBits">
    <vt:lpwstr>1</vt:lpwstr>
  </property>
</Properties>
</file>