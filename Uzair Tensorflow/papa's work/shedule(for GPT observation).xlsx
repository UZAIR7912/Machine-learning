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1"/>
    <sheet r:id="rId2" sheetId="2" name="book1"/>
    <sheet r:id="rId3" sheetId="3" name="Nov-24 (2)"/>
  </sheets>
  <definedNames>
    <definedName name="UNI_AA_VERSION">"322.1.0"</definedName>
    <definedName name="UNI_PRES_CLOSEST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>64</definedName>
    <definedName name="UNI_PRES_MSTIME">8192</definedName>
    <definedName name="UNI_PRES_POST">256</definedName>
    <definedName name="UNI_PRES_PRIOR">2048</definedName>
    <definedName name="UNI_PRES_RECENT">1024</definedName>
    <definedName name="UNI_PRES_STATIC">128</definedName>
    <definedName name="UNI_PRES_TRANSPOSE">4096</definedName>
    <definedName name="UNI_RET_ATTRIB">64</definedName>
    <definedName name="UNI_RET_CONF">32</definedName>
    <definedName name="UNI_RET_DESC">4</definedName>
    <definedName name="UNI_RET_TAG">1</definedName>
    <definedName name="UNI_RET_TIME">8</definedName>
    <definedName name="UNI_RET_UNIT">2</definedName>
    <definedName name="UNI_RET_VALUE">16</definedName>
  </definedNames>
  <calcPr fullCalcOnLoad="1"/>
</workbook>
</file>

<file path=xl/sharedStrings.xml><?xml version="1.0" encoding="utf-8"?>
<sst xmlns="http://schemas.openxmlformats.org/spreadsheetml/2006/main" count="2365" uniqueCount="96">
  <si>
    <t>MONTH</t>
  </si>
  <si>
    <t>PT Panel Nov-24</t>
  </si>
  <si>
    <t>DAY</t>
  </si>
  <si>
    <t>FRI</t>
  </si>
  <si>
    <t>SAT</t>
  </si>
  <si>
    <t>SUN</t>
  </si>
  <si>
    <t>MON</t>
  </si>
  <si>
    <t>TUE</t>
  </si>
  <si>
    <t>WED</t>
  </si>
  <si>
    <t>THU</t>
  </si>
  <si>
    <t>Group</t>
  </si>
  <si>
    <t>Name</t>
  </si>
  <si>
    <t>S/N</t>
  </si>
  <si>
    <t>SC</t>
  </si>
  <si>
    <t>Duty</t>
  </si>
  <si>
    <t>TRg</t>
  </si>
  <si>
    <t>Total</t>
  </si>
  <si>
    <t>A</t>
  </si>
  <si>
    <t>RAJESH  SHARMA</t>
  </si>
  <si>
    <t>R</t>
  </si>
  <si>
    <t>L</t>
  </si>
  <si>
    <t>N</t>
  </si>
  <si>
    <t>R/N</t>
  </si>
  <si>
    <t>D</t>
  </si>
  <si>
    <t>L/R</t>
  </si>
  <si>
    <t>LOYISO BIKITSHA</t>
  </si>
  <si>
    <t>OTS</t>
  </si>
  <si>
    <t>Training - November 2024</t>
  </si>
  <si>
    <t>JAVED ALI KHAN</t>
  </si>
  <si>
    <t>T</t>
  </si>
  <si>
    <t>Training</t>
  </si>
  <si>
    <t>Venue</t>
  </si>
  <si>
    <t>Staff Name</t>
  </si>
  <si>
    <t xml:space="preserve"> Date</t>
  </si>
  <si>
    <t>Time</t>
  </si>
  <si>
    <t>B</t>
  </si>
  <si>
    <t xml:space="preserve">ABDUL SATTAR </t>
  </si>
  <si>
    <t>R/D</t>
  </si>
  <si>
    <t>AGT</t>
  </si>
  <si>
    <t>MS Team</t>
  </si>
  <si>
    <t>24/11 - 25/11</t>
  </si>
  <si>
    <t>09:00AM</t>
  </si>
  <si>
    <t>ZAHID RASOOL</t>
  </si>
  <si>
    <t>BIJU (Code:94297)</t>
  </si>
  <si>
    <t>C</t>
  </si>
  <si>
    <t>ASADULLAH</t>
  </si>
  <si>
    <t>SOEMANTRI (Code:94297)</t>
  </si>
  <si>
    <t>K GOPALA KRISHNAN</t>
  </si>
  <si>
    <t>DWI (Code:94297)</t>
  </si>
  <si>
    <t>ABDUL MALIK SARIF</t>
  </si>
  <si>
    <t>SYFFU (Code:94297)</t>
  </si>
  <si>
    <t>MUNIR AHMAD</t>
  </si>
  <si>
    <t>EPTW-1</t>
  </si>
  <si>
    <t>PortaCabin</t>
  </si>
  <si>
    <t>ZAHID RASOOL (Code:84273)</t>
  </si>
  <si>
    <t>07:30AM</t>
  </si>
  <si>
    <t>SAMBASIVA RAO</t>
  </si>
  <si>
    <t>JAVED ALI KHAN (Code:94271)</t>
  </si>
  <si>
    <t>ILIAS ALI KOYA</t>
  </si>
  <si>
    <t>ABDUL SATTAR  (Code:94269)</t>
  </si>
  <si>
    <t>E</t>
  </si>
  <si>
    <t>MUHAMMAD SALEH</t>
  </si>
  <si>
    <t>EPTW-2</t>
  </si>
  <si>
    <t>PT Field Nov-24</t>
  </si>
  <si>
    <t>DWI YUDIANTO</t>
  </si>
  <si>
    <t>R/T</t>
  </si>
  <si>
    <t>ABDUL RAHMAN M</t>
  </si>
  <si>
    <t>AMANCIK CIKGON</t>
  </si>
  <si>
    <t>HITESHBHAI MISTRY</t>
  </si>
  <si>
    <t>BIJU ABDULLA</t>
  </si>
  <si>
    <t>VISHNUPRASAD M</t>
  </si>
  <si>
    <t>RIDWAN HUSNI</t>
  </si>
  <si>
    <t>SOEMANTRI</t>
  </si>
  <si>
    <t>NAZIM JAMAL</t>
  </si>
  <si>
    <t>ARIF AKRAM KAMBOH</t>
  </si>
  <si>
    <t>MOHD SYFUJJAMAN</t>
  </si>
  <si>
    <t xml:space="preserve">CARLOS </t>
  </si>
  <si>
    <t>NAEEM AHMAD</t>
  </si>
  <si>
    <t>N12</t>
  </si>
  <si>
    <t>D12</t>
  </si>
  <si>
    <t xml:space="preserve">PIYUSHKUMAR </t>
  </si>
  <si>
    <t xml:space="preserve">VIKASKUMAR </t>
  </si>
  <si>
    <t>JABER AL-MARRI</t>
  </si>
  <si>
    <t xml:space="preserve">FRANCISCO </t>
  </si>
  <si>
    <t>PT Panel Sept-24</t>
  </si>
  <si>
    <t>Training - August 2024</t>
  </si>
  <si>
    <t>H2S</t>
  </si>
  <si>
    <t>K GOPALA KRISHNAN (Code: 89228)</t>
  </si>
  <si>
    <t>MUNIR AHMAD (Code: 89230)</t>
  </si>
  <si>
    <t>CARLOS (Code: 90025)</t>
  </si>
  <si>
    <t>AMANCIK CIKGON (Code: 90026)</t>
  </si>
  <si>
    <t>VIKASKUMAR (Code: 90027)</t>
  </si>
  <si>
    <t>ABDUL RAHMAN M (Code: 90028)</t>
  </si>
  <si>
    <t>FRANCISCO (Code: 90029)</t>
  </si>
  <si>
    <t>PT Field Sept-24</t>
  </si>
  <si>
    <t>D/R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</si>
</sst>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h:mm:ss Am/Pm"/>
    <numFmt numFmtId="165" formatCode="h:mm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Times New Roman"/>
      <family val="2"/>
    </font>
    <font>
      <b/>
      <sz val="14"/>
      <color rgb="FF000000"/>
      <name val="Times New Roman"/>
      <family val="2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11"/>
      <color rgb="FF000000"/>
      <name val="Calibri"/>
      <family val="2"/>
    </font>
    <font>
      <sz val="11"/>
      <color rgb="FF000000"/>
      <name val="Ari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Times New Roman"/>
      <family val="2"/>
    </font>
    <font>
      <b/>
      <sz val="12"/>
      <color rgb="FF000000"/>
      <name val="Calibri"/>
      <family val="2"/>
    </font>
    <font>
      <b/>
      <sz val="10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color rgb="FFff0000"/>
      <name val="Calibri"/>
      <family val="2"/>
    </font>
    <font>
      <sz val="11"/>
      <color rgb="FF0070c0"/>
      <name val="Calibri"/>
      <family val="2"/>
    </font>
    <font>
      <b/>
      <sz val="11"/>
      <color rgb="FF00b050"/>
      <name val="Calibri"/>
      <family val="2"/>
    </font>
    <font>
      <sz val="12"/>
      <color rgb="FF000000"/>
      <name val="Arial Nova Cond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efd9"/>
      </patternFill>
    </fill>
    <fill>
      <patternFill patternType="solid">
        <fgColor rgb="FFffff00"/>
      </patternFill>
    </fill>
    <fill>
      <patternFill patternType="solid">
        <fgColor rgb="FFbdd7ee"/>
      </patternFill>
    </fill>
    <fill>
      <patternFill patternType="solid">
        <fgColor rgb="FF00b050"/>
      </patternFill>
    </fill>
    <fill>
      <patternFill patternType="solid">
        <fgColor rgb="FFf4b183"/>
      </patternFill>
    </fill>
    <fill>
      <patternFill patternType="solid">
        <fgColor rgb="FF7030a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be4d5"/>
      </patternFill>
    </fill>
    <fill>
      <patternFill patternType="solid">
        <fgColor rgb="FFf2f2f2"/>
      </patternFill>
    </fill>
    <fill>
      <patternFill patternType="solid">
        <fgColor rgb="FF8faadc"/>
      </patternFill>
    </fill>
  </fills>
  <borders count="6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5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3" applyNumberFormat="1" borderId="5" applyBorder="1" fontId="3" applyFont="1" fillId="0" applyAlignment="1">
      <alignment horizontal="center"/>
    </xf>
    <xf xfId="0" numFmtId="17" applyNumberFormat="1" borderId="6" applyBorder="1" fontId="3" applyFont="1" fillId="0" applyAlignment="1">
      <alignment horizontal="center"/>
    </xf>
    <xf xfId="0" numFmtId="17" applyNumberFormat="1" borderId="7" applyBorder="1" fontId="3" applyFont="1" fillId="0" applyAlignment="1">
      <alignment horizontal="center"/>
    </xf>
    <xf xfId="0" numFmtId="17" applyNumberFormat="1" borderId="1" applyBorder="1" fontId="3" applyFont="1" fillId="0" applyAlignment="1">
      <alignment horizontal="center"/>
    </xf>
    <xf xfId="0" numFmtId="0" borderId="8" applyBorder="1" fontId="4" applyFont="1" fillId="0" applyAlignment="1">
      <alignment horizontal="center"/>
    </xf>
    <xf xfId="0" numFmtId="0" borderId="9" applyBorder="1" fontId="4" applyFont="1" fillId="0" applyAlignment="1">
      <alignment horizontal="center"/>
    </xf>
    <xf xfId="0" numFmtId="3" applyNumberFormat="1" borderId="9" applyBorder="1" fontId="4" applyFont="1" fillId="0" applyAlignment="1">
      <alignment horizontal="center"/>
    </xf>
    <xf xfId="0" numFmtId="3" applyNumberFormat="1" borderId="10" applyBorder="1" fontId="4" applyFont="1" fillId="0" applyAlignment="1">
      <alignment horizontal="center"/>
    </xf>
    <xf xfId="0" numFmtId="3" applyNumberFormat="1" borderId="11" applyBorder="1" fontId="4" applyFont="1" fillId="0" applyAlignment="1">
      <alignment horizontal="center"/>
    </xf>
    <xf xfId="0" numFmtId="3" applyNumberFormat="1" borderId="12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0" borderId="13" applyBorder="1" fontId="2" applyFont="1" fillId="0" applyAlignment="1">
      <alignment horizontal="center"/>
    </xf>
    <xf xfId="0" numFmtId="0" borderId="14" applyBorder="1" fontId="2" applyFont="1" fillId="0" applyAlignment="1">
      <alignment horizontal="center"/>
    </xf>
    <xf xfId="0" numFmtId="3" applyNumberFormat="1" borderId="15" applyBorder="1" fontId="4" applyFont="1" fillId="0" applyAlignment="1">
      <alignment horizontal="center"/>
    </xf>
    <xf xfId="0" numFmtId="3" applyNumberFormat="1" borderId="16" applyBorder="1" fontId="5" applyFont="1" fillId="0" applyAlignment="1">
      <alignment horizontal="center"/>
    </xf>
    <xf xfId="0" numFmtId="3" applyNumberFormat="1" borderId="17" applyBorder="1" fontId="5" applyFont="1" fillId="0" applyAlignment="1">
      <alignment horizontal="center"/>
    </xf>
    <xf xfId="0" numFmtId="3" applyNumberFormat="1" borderId="18" applyBorder="1" fontId="5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0" borderId="19" applyBorder="1" fontId="6" applyFont="1" fillId="2" applyFill="1" applyAlignment="1">
      <alignment horizontal="center" vertical="top"/>
    </xf>
    <xf xfId="0" numFmtId="0" borderId="20" applyBorder="1" fontId="7" applyFont="1" fillId="3" applyFill="1" applyAlignment="1">
      <alignment horizontal="left"/>
    </xf>
    <xf xfId="0" numFmtId="3" applyNumberFormat="1" borderId="21" applyBorder="1" fontId="8" applyFont="1" fillId="4" applyFill="1" applyAlignment="1">
      <alignment horizontal="center"/>
    </xf>
    <xf xfId="0" numFmtId="3" applyNumberFormat="1" borderId="22" applyBorder="1" fontId="9" applyFont="1" fillId="5" applyFill="1" applyAlignment="1">
      <alignment horizontal="center"/>
    </xf>
    <xf xfId="0" numFmtId="3" applyNumberFormat="1" borderId="23" applyBorder="1" fontId="9" applyFont="1" fillId="4" applyFill="1" applyAlignment="1">
      <alignment horizontal="center"/>
    </xf>
    <xf xfId="0" numFmtId="3" applyNumberFormat="1" borderId="24" applyBorder="1" fontId="9" applyFont="1" fillId="0" applyAlignment="1">
      <alignment horizontal="center"/>
    </xf>
    <xf xfId="0" numFmtId="3" applyNumberFormat="1" borderId="23" applyBorder="1" fontId="9" applyFont="1" fillId="6" applyFill="1" applyAlignment="1">
      <alignment horizontal="center"/>
    </xf>
    <xf xfId="0" numFmtId="3" applyNumberFormat="1" borderId="23" applyBorder="1" fontId="9" applyFont="1" fillId="5" applyFill="1" applyAlignment="1">
      <alignment horizontal="center"/>
    </xf>
    <xf xfId="0" numFmtId="3" applyNumberFormat="1" borderId="23" applyBorder="1" fontId="9" applyFont="1" fillId="7" applyFill="1" applyAlignment="1">
      <alignment horizontal="center"/>
    </xf>
    <xf xfId="0" numFmtId="3" applyNumberFormat="1" borderId="25" applyBorder="1" fontId="9" applyFont="1" fillId="5" applyFill="1" applyAlignment="1">
      <alignment horizontal="center"/>
    </xf>
    <xf xfId="0" numFmtId="3" applyNumberFormat="1" borderId="1" applyBorder="1" fontId="9" applyFont="1" fillId="0" applyAlignment="1">
      <alignment horizontal="center"/>
    </xf>
    <xf xfId="0" numFmtId="0" borderId="26" applyBorder="1" fontId="6" applyFont="1" fillId="2" applyFill="1" applyAlignment="1">
      <alignment horizontal="center"/>
    </xf>
    <xf xfId="0" numFmtId="0" borderId="27" applyBorder="1" fontId="7" applyFont="1" fillId="3" applyFill="1" applyAlignment="1">
      <alignment horizontal="left"/>
    </xf>
    <xf xfId="0" numFmtId="3" applyNumberFormat="1" borderId="28" applyBorder="1" fontId="8" applyFont="1" fillId="4" applyFill="1" applyAlignment="1">
      <alignment horizontal="center"/>
    </xf>
    <xf xfId="0" numFmtId="3" applyNumberFormat="1" borderId="29" applyBorder="1" fontId="9" applyFont="1" fillId="5" applyFill="1" applyAlignment="1">
      <alignment horizontal="center"/>
    </xf>
    <xf xfId="0" numFmtId="3" applyNumberFormat="1" borderId="30" applyBorder="1" fontId="9" applyFont="1" fillId="0" applyAlignment="1">
      <alignment horizontal="center"/>
    </xf>
    <xf xfId="0" numFmtId="3" applyNumberFormat="1" borderId="30" applyBorder="1" fontId="9" applyFont="1" fillId="5" applyFill="1" applyAlignment="1">
      <alignment horizontal="center"/>
    </xf>
    <xf xfId="0" numFmtId="3" applyNumberFormat="1" borderId="30" applyBorder="1" fontId="10" applyFont="1" fillId="8" applyFill="1" applyAlignment="1">
      <alignment horizontal="center"/>
    </xf>
    <xf xfId="0" numFmtId="3" applyNumberFormat="1" borderId="30" applyBorder="1" fontId="9" applyFont="1" fillId="4" applyFill="1" applyAlignment="1">
      <alignment horizontal="center"/>
    </xf>
    <xf xfId="0" numFmtId="3" applyNumberFormat="1" borderId="31" applyBorder="1" fontId="9" applyFont="1" fillId="4" applyFill="1" applyAlignment="1">
      <alignment horizontal="center"/>
    </xf>
    <xf xfId="0" numFmtId="0" borderId="10" applyBorder="1" fontId="11" applyFont="1" fillId="9" applyFill="1" applyAlignment="1">
      <alignment horizontal="center"/>
    </xf>
    <xf xfId="0" numFmtId="0" borderId="11" applyBorder="1" fontId="11" applyFont="1" fillId="9" applyFill="1" applyAlignment="1">
      <alignment horizontal="center"/>
    </xf>
    <xf xfId="0" numFmtId="1" applyNumberFormat="1" borderId="11" applyBorder="1" fontId="11" applyFont="1" fillId="9" applyFill="1" applyAlignment="1">
      <alignment horizontal="center"/>
    </xf>
    <xf xfId="0" numFmtId="0" borderId="12" applyBorder="1" fontId="11" applyFont="1" fillId="9" applyFill="1" applyAlignment="1">
      <alignment horizontal="center"/>
    </xf>
    <xf xfId="0" numFmtId="0" borderId="32" applyBorder="1" fontId="7" applyFont="1" fillId="3" applyFill="1" applyAlignment="1">
      <alignment horizontal="left"/>
    </xf>
    <xf xfId="0" numFmtId="3" applyNumberFormat="1" borderId="33" applyBorder="1" fontId="8" applyFont="1" fillId="4" applyFill="1" applyAlignment="1">
      <alignment horizontal="center"/>
    </xf>
    <xf xfId="0" numFmtId="3" applyNumberFormat="1" borderId="34" applyBorder="1" fontId="9" applyFont="1" fillId="5" applyFill="1" applyAlignment="1">
      <alignment horizontal="center"/>
    </xf>
    <xf xfId="0" numFmtId="3" applyNumberFormat="1" borderId="35" applyBorder="1" fontId="9" applyFont="1" fillId="0" applyAlignment="1">
      <alignment horizontal="center"/>
    </xf>
    <xf xfId="0" numFmtId="3" applyNumberFormat="1" borderId="36" applyBorder="1" fontId="9" applyFont="1" fillId="4" applyFill="1" applyAlignment="1">
      <alignment horizontal="center"/>
    </xf>
    <xf xfId="0" numFmtId="3" applyNumberFormat="1" borderId="36" applyBorder="1" fontId="9" applyFont="1" fillId="5" applyFill="1" applyAlignment="1">
      <alignment horizontal="center"/>
    </xf>
    <xf xfId="0" numFmtId="3" applyNumberFormat="1" borderId="36" applyBorder="1" fontId="9" applyFont="1" fillId="6" applyFill="1" applyAlignment="1">
      <alignment horizontal="center"/>
    </xf>
    <xf xfId="0" numFmtId="3" applyNumberFormat="1" borderId="36" applyBorder="1" fontId="12" applyFont="1" fillId="10" applyFill="1" applyAlignment="1">
      <alignment horizontal="center"/>
    </xf>
    <xf xfId="0" numFmtId="3" applyNumberFormat="1" borderId="37" applyBorder="1" fontId="9" applyFont="1" fillId="5" applyFill="1" applyAlignment="1">
      <alignment horizontal="center"/>
    </xf>
    <xf xfId="0" numFmtId="0" borderId="38" applyBorder="1" fontId="13" applyFont="1" fillId="0" applyAlignment="1">
      <alignment horizontal="center"/>
    </xf>
    <xf xfId="0" numFmtId="0" borderId="39" applyBorder="1" fontId="14" applyFont="1" fillId="0" applyAlignment="1">
      <alignment horizontal="center"/>
    </xf>
    <xf xfId="0" numFmtId="1" applyNumberFormat="1" borderId="39" applyBorder="1" fontId="14" applyFont="1" fillId="0" applyAlignment="1">
      <alignment horizontal="center"/>
    </xf>
    <xf xfId="0" numFmtId="0" borderId="40" applyBorder="1" fontId="14" applyFont="1" fillId="0" applyAlignment="1">
      <alignment horizontal="center"/>
    </xf>
    <xf xfId="0" numFmtId="0" borderId="41" applyBorder="1" fontId="7" applyFont="1" fillId="11" applyFill="1" applyAlignment="1">
      <alignment horizontal="left"/>
    </xf>
    <xf xfId="0" numFmtId="3" applyNumberFormat="1" borderId="11" applyBorder="1" fontId="9" applyFont="1" fillId="0" applyAlignment="1">
      <alignment horizontal="center"/>
    </xf>
    <xf xfId="0" numFmtId="3" applyNumberFormat="1" borderId="11" applyBorder="1" fontId="9" applyFont="1" fillId="5" applyFill="1" applyAlignment="1">
      <alignment horizontal="center"/>
    </xf>
    <xf xfId="0" numFmtId="3" applyNumberFormat="1" borderId="11" applyBorder="1" fontId="9" applyFont="1" fillId="6" applyFill="1" applyAlignment="1">
      <alignment horizontal="center"/>
    </xf>
    <xf xfId="0" numFmtId="3" applyNumberFormat="1" borderId="12" applyBorder="1" fontId="9" applyFont="1" fillId="5" applyFill="1" applyAlignment="1">
      <alignment horizontal="center"/>
    </xf>
    <xf xfId="0" numFmtId="0" borderId="42" applyBorder="1" fontId="5" applyFont="1" fillId="10" applyFill="1" applyAlignment="1">
      <alignment horizontal="center" vertical="top"/>
    </xf>
    <xf xfId="0" numFmtId="0" borderId="11" applyBorder="1" fontId="5" applyFont="1" fillId="0" applyAlignment="1">
      <alignment horizontal="center" vertical="top"/>
    </xf>
    <xf xfId="0" numFmtId="0" borderId="11" applyBorder="1" fontId="5" applyFont="1" fillId="0" applyAlignment="1">
      <alignment horizontal="left"/>
    </xf>
    <xf xfId="0" numFmtId="1" applyNumberFormat="1" borderId="43" applyBorder="1" fontId="5" applyFont="1" fillId="0" applyAlignment="1">
      <alignment horizontal="center" vertical="top" wrapText="1"/>
    </xf>
    <xf xfId="0" numFmtId="0" borderId="44" applyBorder="1" fontId="5" applyFont="1" fillId="0" applyAlignment="1">
      <alignment horizontal="center" vertical="top"/>
    </xf>
    <xf xfId="0" numFmtId="0" borderId="45" applyBorder="1" fontId="6" applyFont="1" fillId="2" applyFill="1" applyAlignment="1">
      <alignment horizontal="center"/>
    </xf>
    <xf xfId="0" numFmtId="0" borderId="27" applyBorder="1" fontId="7" applyFont="1" fillId="11" applyFill="1" applyAlignment="1">
      <alignment horizontal="left"/>
    </xf>
    <xf xfId="0" numFmtId="3" applyNumberFormat="1" borderId="46" applyBorder="1" fontId="9" applyFont="1" fillId="0" applyAlignment="1">
      <alignment horizontal="center"/>
    </xf>
    <xf xfId="0" numFmtId="0" borderId="47" applyBorder="1" fontId="5" applyFont="1" fillId="10" applyFill="1" applyAlignment="1">
      <alignment horizontal="center"/>
    </xf>
    <xf xfId="0" numFmtId="0" borderId="30" applyBorder="1" fontId="5" applyFont="1" fillId="0" applyAlignment="1">
      <alignment horizontal="center"/>
    </xf>
    <xf xfId="0" numFmtId="0" borderId="48" applyBorder="1" fontId="5" applyFont="1" fillId="0" applyAlignment="1">
      <alignment horizontal="left"/>
    </xf>
    <xf xfId="0" numFmtId="16" applyNumberFormat="1" borderId="39" applyBorder="1" fontId="5" applyFont="1" fillId="0" applyAlignment="1">
      <alignment horizontal="center" wrapText="1"/>
    </xf>
    <xf xfId="0" numFmtId="164" applyNumberFormat="1" borderId="40" applyBorder="1" fontId="5" applyFont="1" fillId="0" applyAlignment="1">
      <alignment horizontal="center"/>
    </xf>
    <xf xfId="0" numFmtId="0" borderId="41" applyBorder="1" fontId="7" applyFont="1" fillId="12" applyFill="1" applyAlignment="1">
      <alignment horizontal="left"/>
    </xf>
    <xf xfId="0" numFmtId="3" applyNumberFormat="1" borderId="10" applyBorder="1" fontId="9" applyFont="1" fillId="0" applyAlignment="1">
      <alignment horizontal="center"/>
    </xf>
    <xf xfId="0" numFmtId="3" applyNumberFormat="1" borderId="12" applyBorder="1" fontId="9" applyFont="1" fillId="0" applyAlignment="1">
      <alignment horizontal="center"/>
    </xf>
    <xf xfId="0" numFmtId="0" borderId="27" applyBorder="1" fontId="7" applyFont="1" fillId="12" applyFill="1" applyAlignment="1">
      <alignment horizontal="left"/>
    </xf>
    <xf xfId="0" numFmtId="3" applyNumberFormat="1" borderId="29" applyBorder="1" fontId="9" applyFont="1" fillId="0" applyAlignment="1">
      <alignment horizontal="center"/>
    </xf>
    <xf xfId="0" numFmtId="3" applyNumberFormat="1" borderId="30" applyBorder="1" fontId="9" applyFont="1" fillId="6" applyFill="1" applyAlignment="1">
      <alignment horizontal="center"/>
    </xf>
    <xf xfId="0" numFmtId="3" applyNumberFormat="1" borderId="31" applyBorder="1" fontId="9" applyFont="1" fillId="0" applyAlignment="1">
      <alignment horizontal="center"/>
    </xf>
    <xf xfId="0" numFmtId="0" borderId="32" applyBorder="1" fontId="7" applyFont="1" fillId="12" applyFill="1" applyAlignment="1">
      <alignment horizontal="left"/>
    </xf>
    <xf xfId="0" numFmtId="3" applyNumberFormat="1" borderId="34" applyBorder="1" fontId="9" applyFont="1" fillId="4" applyFill="1" applyAlignment="1">
      <alignment horizontal="center"/>
    </xf>
    <xf xfId="0" numFmtId="3" applyNumberFormat="1" borderId="36" applyBorder="1" fontId="9" applyFont="1" fillId="7" applyFill="1" applyAlignment="1">
      <alignment horizontal="center"/>
    </xf>
    <xf xfId="0" numFmtId="3" applyNumberFormat="1" borderId="49" applyBorder="1" fontId="9" applyFont="1" fillId="0" applyAlignment="1">
      <alignment horizontal="center"/>
    </xf>
    <xf xfId="0" numFmtId="0" borderId="50" applyBorder="1" fontId="5" applyFont="1" fillId="10" applyFill="1" applyAlignment="1">
      <alignment horizontal="center"/>
    </xf>
    <xf xfId="0" numFmtId="0" borderId="35" applyBorder="1" fontId="5" applyFont="1" fillId="0" applyAlignment="1">
      <alignment horizontal="center"/>
    </xf>
    <xf xfId="0" numFmtId="0" borderId="51" applyBorder="1" fontId="5" applyFont="1" fillId="0" applyAlignment="1">
      <alignment horizontal="left"/>
    </xf>
    <xf xfId="0" numFmtId="16" applyNumberFormat="1" borderId="52" applyBorder="1" fontId="5" applyFont="1" fillId="0" applyAlignment="1">
      <alignment horizontal="center" wrapText="1"/>
    </xf>
    <xf xfId="0" numFmtId="0" borderId="41" applyBorder="1" fontId="7" applyFont="1" fillId="13" applyFill="1" applyAlignment="1">
      <alignment horizontal="left"/>
    </xf>
    <xf xfId="0" numFmtId="3" applyNumberFormat="1" borderId="10" applyBorder="1" fontId="9" applyFont="1" fillId="5" applyFill="1" applyAlignment="1">
      <alignment horizontal="center"/>
    </xf>
    <xf xfId="0" numFmtId="16" applyNumberFormat="1" borderId="11" applyBorder="1" fontId="5" applyFont="1" fillId="0" applyAlignment="1">
      <alignment horizontal="center"/>
    </xf>
    <xf xfId="0" numFmtId="0" borderId="12" applyBorder="1" fontId="5" applyFont="1" fillId="0" applyAlignment="1">
      <alignment horizontal="center" vertical="top"/>
    </xf>
    <xf xfId="0" numFmtId="0" borderId="27" applyBorder="1" fontId="7" applyFont="1" fillId="13" applyFill="1" applyAlignment="1">
      <alignment horizontal="left"/>
    </xf>
    <xf xfId="0" numFmtId="3" applyNumberFormat="1" borderId="53" applyBorder="1" fontId="8" applyFont="1" fillId="4" applyFill="1" applyAlignment="1">
      <alignment horizontal="center"/>
    </xf>
    <xf xfId="0" numFmtId="3" applyNumberFormat="1" borderId="30" applyBorder="1" fontId="9" applyFont="1" fillId="7" applyFill="1" applyAlignment="1">
      <alignment horizontal="center"/>
    </xf>
    <xf xfId="0" numFmtId="165" applyNumberFormat="1" borderId="47" applyBorder="1" fontId="5" applyFont="1" fillId="10" applyFill="1" applyAlignment="1">
      <alignment horizontal="center"/>
    </xf>
    <xf xfId="0" numFmtId="165" applyNumberFormat="1" borderId="30" applyBorder="1" fontId="5" applyFont="1" fillId="0" applyAlignment="1">
      <alignment horizontal="center"/>
    </xf>
    <xf xfId="0" numFmtId="0" borderId="30" applyBorder="1" fontId="5" applyFont="1" fillId="0" applyAlignment="1">
      <alignment horizontal="left"/>
    </xf>
    <xf xfId="0" numFmtId="16" applyNumberFormat="1" borderId="30" applyBorder="1" fontId="5" applyFont="1" fillId="0" applyAlignment="1">
      <alignment horizontal="center"/>
    </xf>
    <xf xfId="0" numFmtId="165" applyNumberFormat="1" borderId="31" applyBorder="1" fontId="5" applyFont="1" fillId="0" applyAlignment="1">
      <alignment horizontal="center"/>
    </xf>
    <xf xfId="0" numFmtId="0" borderId="32" applyBorder="1" fontId="7" applyFont="1" fillId="13" applyFill="1" applyAlignment="1">
      <alignment horizontal="left"/>
    </xf>
    <xf xfId="0" numFmtId="3" applyNumberFormat="1" borderId="54" applyBorder="1" fontId="8" applyFont="1" fillId="4" applyFill="1" applyAlignment="1">
      <alignment horizontal="center"/>
    </xf>
    <xf xfId="0" numFmtId="0" borderId="55" applyBorder="1" fontId="6" applyFont="1" fillId="2" applyFill="1" applyAlignment="1">
      <alignment horizontal="center"/>
    </xf>
    <xf xfId="0" numFmtId="0" borderId="56" applyBorder="1" fontId="7" applyFont="1" fillId="14" applyFill="1" applyAlignment="1">
      <alignment horizontal="left"/>
    </xf>
    <xf xfId="0" numFmtId="3" applyNumberFormat="1" borderId="57" applyBorder="1" fontId="8" applyFont="1" fillId="4" applyFill="1" applyAlignment="1">
      <alignment horizontal="center"/>
    </xf>
    <xf xfId="0" numFmtId="3" applyNumberFormat="1" borderId="16" applyBorder="1" fontId="9" applyFont="1" fillId="0" applyAlignment="1">
      <alignment horizontal="center"/>
    </xf>
    <xf xfId="0" numFmtId="3" applyNumberFormat="1" borderId="17" applyBorder="1" fontId="9" applyFont="1" fillId="0" applyAlignment="1">
      <alignment horizontal="center"/>
    </xf>
    <xf xfId="0" numFmtId="3" applyNumberFormat="1" borderId="17" applyBorder="1" fontId="9" applyFont="1" fillId="5" applyFill="1" applyAlignment="1">
      <alignment horizontal="center"/>
    </xf>
    <xf xfId="0" numFmtId="3" applyNumberFormat="1" borderId="17" applyBorder="1" fontId="9" applyFont="1" fillId="6" applyFill="1" applyAlignment="1">
      <alignment horizontal="center"/>
    </xf>
    <xf xfId="0" numFmtId="3" applyNumberFormat="1" borderId="18" applyBorder="1" fontId="9" applyFont="1" fillId="5" applyFill="1" applyAlignment="1">
      <alignment horizontal="center"/>
    </xf>
    <xf xfId="0" numFmtId="3" applyNumberFormat="1" borderId="24" applyBorder="1" fontId="15" applyFont="1" fillId="0" applyAlignment="1">
      <alignment horizontal="center"/>
    </xf>
    <xf xfId="0" numFmtId="3" applyNumberFormat="1" borderId="24" applyBorder="1" fontId="8" applyFont="1" fillId="0" applyAlignment="1">
      <alignment horizontal="center"/>
    </xf>
    <xf xfId="0" numFmtId="3" applyNumberFormat="1" borderId="1" applyBorder="1" fontId="8" applyFont="1" fillId="0" applyAlignment="1">
      <alignment horizontal="center"/>
    </xf>
    <xf xfId="0" numFmtId="3" applyNumberFormat="1" borderId="30" applyBorder="1" fontId="16" applyFont="1" fillId="0" applyAlignment="1">
      <alignment horizontal="center"/>
    </xf>
    <xf xfId="0" numFmtId="3" applyNumberFormat="1" borderId="30" applyBorder="1" fontId="8" applyFont="1" fillId="0" applyAlignment="1">
      <alignment horizontal="center"/>
    </xf>
    <xf xfId="0" numFmtId="165" applyNumberFormat="1" borderId="50" applyBorder="1" fontId="5" applyFont="1" fillId="10" applyFill="1" applyAlignment="1">
      <alignment horizontal="center"/>
    </xf>
    <xf xfId="0" numFmtId="165" applyNumberFormat="1" borderId="17" applyBorder="1" fontId="5" applyFont="1" fillId="0" applyAlignment="1">
      <alignment horizontal="center"/>
    </xf>
    <xf xfId="0" numFmtId="0" borderId="17" applyBorder="1" fontId="5" applyFont="1" fillId="0" applyAlignment="1">
      <alignment horizontal="left"/>
    </xf>
    <xf xfId="0" numFmtId="16" applyNumberFormat="1" borderId="17" applyBorder="1" fontId="5" applyFont="1" fillId="0" applyAlignment="1">
      <alignment horizontal="center"/>
    </xf>
    <xf xfId="0" numFmtId="165" applyNumberFormat="1" borderId="18" applyBorder="1" fontId="5" applyFont="1" fillId="0" applyAlignment="1">
      <alignment horizontal="center"/>
    </xf>
    <xf xfId="0" numFmtId="3" applyNumberFormat="1" borderId="30" applyBorder="1" fontId="17" applyFont="1" fillId="0" applyAlignment="1">
      <alignment horizontal="center"/>
    </xf>
    <xf xfId="0" numFmtId="0" borderId="13" applyBorder="1" fontId="5" applyFont="1" fillId="0" applyAlignment="1">
      <alignment horizontal="center" vertical="top"/>
    </xf>
    <xf xfId="0" numFmtId="0" borderId="39" applyBorder="1" fontId="5" applyFont="1" fillId="0" applyAlignment="1">
      <alignment horizontal="center" vertical="top"/>
    </xf>
    <xf xfId="0" numFmtId="0" borderId="24" applyBorder="1" fontId="5" applyFont="1" fillId="0" applyAlignment="1">
      <alignment horizontal="left"/>
    </xf>
    <xf xfId="0" numFmtId="16" applyNumberFormat="1" borderId="24" applyBorder="1" fontId="5" applyFont="1" fillId="0" applyAlignment="1">
      <alignment horizontal="center"/>
    </xf>
    <xf xfId="0" numFmtId="165" applyNumberFormat="1" borderId="40" applyBorder="1" fontId="5" applyFont="1" fillId="0" applyAlignment="1">
      <alignment horizontal="center" vertical="top"/>
    </xf>
    <xf xfId="0" numFmtId="0" borderId="58" applyBorder="1" fontId="5" applyFont="1" fillId="0" applyAlignment="1">
      <alignment horizontal="center"/>
    </xf>
    <xf xfId="0" numFmtId="0" borderId="52" applyBorder="1" fontId="5" applyFont="1" fillId="0" applyAlignment="1">
      <alignment horizontal="center"/>
    </xf>
    <xf xfId="0" numFmtId="165" applyNumberFormat="1" borderId="59" applyBorder="1" fontId="5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0" borderId="60" applyBorder="1" fontId="2" applyFont="1" fillId="0" applyAlignment="1">
      <alignment horizontal="center"/>
    </xf>
    <xf xfId="0" numFmtId="3" applyNumberFormat="1" borderId="61" applyBorder="1" fontId="4" applyFont="1" fillId="0" applyAlignment="1">
      <alignment horizontal="center"/>
    </xf>
    <xf xfId="0" numFmtId="0" borderId="62" applyBorder="1" fontId="6" applyFont="1" fillId="2" applyFill="1" applyAlignment="1">
      <alignment horizontal="center" vertical="top"/>
    </xf>
    <xf xfId="0" numFmtId="3" applyNumberFormat="1" borderId="11" applyBorder="1" fontId="9" applyFont="1" fillId="10" applyFill="1" applyAlignment="1">
      <alignment horizontal="center"/>
    </xf>
    <xf xfId="0" numFmtId="3" applyNumberFormat="1" borderId="29" applyBorder="1" fontId="9" applyFont="1" fillId="6" applyFill="1" applyAlignment="1">
      <alignment horizontal="center"/>
    </xf>
    <xf xfId="0" numFmtId="3" applyNumberFormat="1" borderId="31" applyBorder="1" fontId="9" applyFont="1" fillId="5" applyFill="1" applyAlignment="1">
      <alignment horizontal="center"/>
    </xf>
    <xf xfId="0" numFmtId="3" applyNumberFormat="1" borderId="16" applyBorder="1" fontId="9" applyFont="1" fillId="5" applyFill="1" applyAlignment="1">
      <alignment horizontal="center"/>
    </xf>
    <xf xfId="0" numFmtId="3" applyNumberFormat="1" borderId="17" applyBorder="1" fontId="9" applyFont="1" fillId="4" applyFill="1" applyAlignment="1">
      <alignment horizontal="center"/>
    </xf>
    <xf xfId="0" numFmtId="3" applyNumberFormat="1" borderId="17" applyBorder="1" fontId="9" applyFont="1" fillId="7" applyFill="1" applyAlignment="1">
      <alignment horizontal="center"/>
    </xf>
    <xf xfId="0" numFmtId="3" applyNumberFormat="1" borderId="29" applyBorder="1" fontId="9" applyFont="1" fillId="4" applyFill="1" applyAlignment="1">
      <alignment horizontal="center"/>
    </xf>
    <xf xfId="0" numFmtId="3" applyNumberFormat="1" borderId="31" applyBorder="1" fontId="9" applyFont="1" fillId="6" applyFill="1" applyAlignment="1">
      <alignment horizontal="center"/>
    </xf>
    <xf xfId="0" numFmtId="0" borderId="20" applyBorder="1" fontId="7" applyFont="1" fillId="11" applyFill="1" applyAlignment="1">
      <alignment horizontal="left"/>
    </xf>
    <xf xfId="0" numFmtId="0" borderId="32" applyBorder="1" fontId="7" applyFont="1" fillId="11" applyFill="1" applyAlignment="1">
      <alignment horizontal="left"/>
    </xf>
    <xf xfId="0" numFmtId="3" applyNumberFormat="1" borderId="17" applyBorder="1" fontId="9" applyFont="1" fillId="10" applyFill="1" applyAlignment="1">
      <alignment horizontal="center"/>
    </xf>
    <xf xfId="0" numFmtId="0" borderId="26" applyBorder="1" fontId="6" applyFont="1" fillId="2" applyFill="1" applyAlignment="1">
      <alignment horizontal="center" vertical="top"/>
    </xf>
    <xf xfId="0" numFmtId="0" borderId="20" applyBorder="1" fontId="7" applyFont="1" fillId="12" applyFill="1" applyAlignment="1">
      <alignment horizontal="left"/>
    </xf>
    <xf xfId="0" numFmtId="3" applyNumberFormat="1" borderId="30" applyBorder="1" fontId="9" applyFont="1" fillId="10" applyFill="1" applyAlignment="1">
      <alignment horizontal="center"/>
    </xf>
    <xf xfId="0" numFmtId="0" borderId="45" applyBorder="1" fontId="7" applyFont="1" fillId="12" applyFill="1" applyAlignment="1">
      <alignment horizontal="left"/>
    </xf>
    <xf xfId="0" numFmtId="3" applyNumberFormat="1" borderId="63" applyBorder="1" fontId="8" applyFont="1" fillId="4" applyFill="1" applyAlignment="1">
      <alignment horizontal="center"/>
    </xf>
    <xf xfId="0" numFmtId="3" applyNumberFormat="1" borderId="18" applyBorder="1" fontId="9" applyFont="1" fillId="0" applyAlignment="1">
      <alignment horizontal="center"/>
    </xf>
    <xf xfId="0" numFmtId="3" applyNumberFormat="1" borderId="10" applyBorder="1" fontId="9" applyFont="1" fillId="6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general"/>
    </xf>
    <xf xfId="0" numFmtId="3" applyNumberFormat="1" borderId="55" applyBorder="1" fontId="8" applyFont="1" fillId="0" applyAlignment="1">
      <alignment horizontal="left"/>
    </xf>
    <xf xfId="0" numFmtId="3" applyNumberFormat="1" borderId="64" applyBorder="1" fontId="8" applyFont="1" fillId="0" applyAlignment="1">
      <alignment horizontal="right"/>
    </xf>
    <xf xfId="0" numFmtId="3" applyNumberFormat="1" borderId="14" applyBorder="1" fontId="8" applyFont="1" fillId="0" applyAlignment="1">
      <alignment horizontal="right"/>
    </xf>
    <xf xfId="0" numFmtId="3" applyNumberFormat="1" borderId="65" applyBorder="1" fontId="8" applyFont="1" fillId="0" applyAlignment="1">
      <alignment horizontal="right"/>
    </xf>
    <xf xfId="0" numFmtId="3" applyNumberFormat="1" borderId="66" applyBorder="1" fontId="18" applyFont="1" fillId="0" applyAlignment="1">
      <alignment horizontal="center"/>
    </xf>
    <xf xfId="0" numFmtId="3" applyNumberFormat="1" borderId="67" applyBorder="1" fontId="18" applyFont="1" fillId="0" applyAlignment="1">
      <alignment horizontal="center"/>
    </xf>
    <xf xfId="0" numFmtId="3" applyNumberFormat="1" borderId="24" applyBorder="1" fontId="18" applyFont="1" fillId="0" applyAlignment="1">
      <alignment horizontal="center"/>
    </xf>
    <xf xfId="0" numFmtId="3" applyNumberFormat="1" borderId="27" applyBorder="1" fontId="18" applyFont="1" fillId="0" applyAlignment="1">
      <alignment horizontal="center"/>
    </xf>
    <xf xfId="0" numFmtId="3" applyNumberFormat="1" borderId="48" applyBorder="1" fontId="18" applyFont="1" fillId="0" applyAlignment="1">
      <alignment horizontal="center"/>
    </xf>
    <xf xfId="0" numFmtId="3" applyNumberFormat="1" borderId="30" applyBorder="1" fontId="18" applyFont="1" fillId="0" applyAlignment="1">
      <alignment horizontal="center"/>
    </xf>
    <xf xfId="0" numFmtId="3" applyNumberFormat="1" borderId="30" applyBorder="1" fontId="18" applyFont="1" fillId="15" applyFill="1" applyAlignment="1">
      <alignment horizontal="center"/>
    </xf>
    <xf xfId="0" numFmtId="3" applyNumberFormat="1" borderId="60" applyBorder="1" fontId="3" applyFont="1" fillId="0" applyAlignment="1">
      <alignment horizontal="center"/>
    </xf>
    <xf xfId="0" numFmtId="17" applyNumberFormat="1" borderId="14" applyBorder="1" fontId="3" applyFont="1" fillId="0" applyAlignment="1">
      <alignment horizontal="center"/>
    </xf>
    <xf xfId="0" numFmtId="17" applyNumberFormat="1" borderId="65" applyBorder="1" fontId="3" applyFont="1" fillId="0" applyAlignment="1">
      <alignment horizontal="center"/>
    </xf>
    <xf xfId="0" numFmtId="3" applyNumberFormat="1" borderId="46" applyBorder="1" fontId="5" applyFont="1" fillId="0" applyAlignment="1">
      <alignment horizontal="center"/>
    </xf>
    <xf xfId="0" numFmtId="3" applyNumberFormat="1" borderId="35" applyBorder="1" fontId="5" applyFont="1" fillId="0" applyAlignment="1">
      <alignment horizontal="center"/>
    </xf>
    <xf xfId="0" numFmtId="3" applyNumberFormat="1" borderId="49" applyBorder="1" fontId="5" applyFont="1" fillId="0" applyAlignment="1">
      <alignment horizontal="center"/>
    </xf>
    <xf xfId="0" numFmtId="0" borderId="38" applyBorder="1" fontId="5" applyFont="1" fillId="0" applyAlignment="1">
      <alignment horizontal="center"/>
    </xf>
    <xf xfId="0" numFmtId="3" applyNumberFormat="1" borderId="43" applyBorder="1" fontId="9" applyFont="1" fillId="0" applyAlignment="1">
      <alignment horizontal="center"/>
    </xf>
    <xf xfId="0" numFmtId="16" applyNumberFormat="1" borderId="35" applyBorder="1" fontId="5" applyFont="1" fillId="0" applyAlignment="1">
      <alignment horizontal="center"/>
    </xf>
    <xf xfId="0" numFmtId="0" borderId="10" applyBorder="1" fontId="5" applyFont="1" fillId="10" applyFill="1" applyAlignment="1">
      <alignment horizontal="center" vertical="top"/>
    </xf>
    <xf xfId="0" numFmtId="165" applyNumberFormat="1" borderId="29" applyBorder="1" fontId="5" applyFont="1" fillId="10" applyFill="1" applyAlignment="1">
      <alignment horizontal="center"/>
    </xf>
    <xf xfId="0" numFmtId="3" applyNumberFormat="1" borderId="60" applyBorder="1" fontId="9" applyFont="1" fillId="5" applyFill="1" applyAlignment="1">
      <alignment horizontal="center"/>
    </xf>
    <xf xfId="0" numFmtId="3" applyNumberFormat="1" borderId="14" applyBorder="1" fontId="9" applyFont="1" fillId="5" applyFill="1" applyAlignment="1">
      <alignment horizontal="center"/>
    </xf>
    <xf xfId="0" numFmtId="3" applyNumberFormat="1" borderId="14" applyBorder="1" fontId="9" applyFont="1" fillId="0" applyAlignment="1">
      <alignment horizontal="center"/>
    </xf>
    <xf xfId="0" numFmtId="3" applyNumberFormat="1" borderId="65" applyBorder="1" fontId="9" applyFont="1" fillId="0" applyAlignment="1">
      <alignment horizontal="center"/>
    </xf>
    <xf xfId="0" numFmtId="165" applyNumberFormat="1" borderId="16" applyBorder="1" fontId="5" applyFont="1" fillId="10" applyFill="1" applyAlignment="1">
      <alignment horizontal="center"/>
    </xf>
    <xf xfId="0" numFmtId="0" borderId="38" applyBorder="1" fontId="5" applyFont="1" fillId="0" applyAlignment="1">
      <alignment horizontal="center" vertical="top"/>
    </xf>
    <xf xfId="0" numFmtId="3" applyNumberFormat="1" borderId="3" applyBorder="1" fontId="2" applyFont="1" fillId="0" applyAlignment="1">
      <alignment horizontal="center"/>
    </xf>
    <xf xfId="0" numFmtId="3" applyNumberFormat="1" borderId="65" applyBorder="1" fontId="4" applyFont="1" fillId="0" applyAlignment="1">
      <alignment horizontal="center"/>
    </xf>
    <xf xfId="0" numFmtId="3" applyNumberFormat="1" borderId="16" applyBorder="1" fontId="9" applyFont="1" fillId="4" applyFill="1" applyAlignment="1">
      <alignment horizontal="center"/>
    </xf>
    <xf xfId="0" numFmtId="3" applyNumberFormat="1" borderId="11" applyBorder="1" fontId="9" applyFont="1" fillId="4" applyFill="1" applyAlignment="1">
      <alignment horizontal="center"/>
    </xf>
    <xf xfId="0" numFmtId="3" applyNumberFormat="1" borderId="12" applyBorder="1" fontId="9" applyFont="1" fillId="4" applyFill="1" applyAlignment="1">
      <alignment horizontal="center"/>
    </xf>
    <xf xfId="0" numFmtId="3" applyNumberFormat="1" borderId="17" applyBorder="1" fontId="10" applyFont="1" fillId="8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43"/>
  <sheetViews>
    <sheetView workbookViewId="0"/>
  </sheetViews>
  <sheetFormatPr defaultRowHeight="15" x14ac:dyDescent="0.25"/>
  <cols>
    <col min="1" max="1" style="158" width="13.576428571428572" customWidth="1" bestFit="1"/>
    <col min="2" max="2" style="158" width="13.576428571428572" customWidth="1" bestFit="1"/>
    <col min="3" max="3" style="158" width="24.005" customWidth="1" bestFit="1"/>
    <col min="4" max="4" style="159" width="7.005" customWidth="1" bestFit="1"/>
    <col min="5" max="5" style="159" width="13.576428571428572" customWidth="1" bestFit="1"/>
    <col min="6" max="6" style="159" width="13.576428571428572" customWidth="1" bestFit="1"/>
    <col min="7" max="7" style="159" width="13.576428571428572" customWidth="1" bestFit="1"/>
    <col min="8" max="8" style="159" width="13.576428571428572" customWidth="1" bestFit="1"/>
    <col min="9" max="9" style="159" width="13.576428571428572" customWidth="1" bestFit="1"/>
    <col min="10" max="10" style="159" width="13.576428571428572" customWidth="1" bestFit="1"/>
    <col min="11" max="11" style="159" width="13.576428571428572" customWidth="1" bestFit="1"/>
    <col min="12" max="12" style="159" width="13.576428571428572" customWidth="1" bestFit="1"/>
    <col min="13" max="13" style="159" width="13.576428571428572" customWidth="1" bestFit="1"/>
    <col min="14" max="14" style="159" width="13.576428571428572" customWidth="1" bestFit="1"/>
    <col min="15" max="15" style="159" width="13.576428571428572" customWidth="1" bestFit="1"/>
    <col min="16" max="16" style="159" width="13.576428571428572" customWidth="1" bestFit="1"/>
    <col min="17" max="17" style="159" width="13.576428571428572" customWidth="1" bestFit="1"/>
    <col min="18" max="18" style="159" width="13.576428571428572" customWidth="1" bestFit="1"/>
    <col min="19" max="19" style="159" width="13.576428571428572" customWidth="1" bestFit="1"/>
    <col min="20" max="20" style="159" width="13.576428571428572" customWidth="1" bestFit="1"/>
    <col min="21" max="21" style="159" width="13.576428571428572" customWidth="1" bestFit="1"/>
    <col min="22" max="22" style="159" width="13.576428571428572" customWidth="1" bestFit="1"/>
    <col min="23" max="23" style="159" width="13.576428571428572" customWidth="1" bestFit="1"/>
    <col min="24" max="24" style="159" width="13.576428571428572" customWidth="1" bestFit="1"/>
    <col min="25" max="25" style="159" width="13.576428571428572" customWidth="1" bestFit="1"/>
    <col min="26" max="26" style="159" width="13.576428571428572" customWidth="1" bestFit="1"/>
    <col min="27" max="27" style="159" width="13.576428571428572" customWidth="1" bestFit="1"/>
    <col min="28" max="28" style="159" width="13.576428571428572" customWidth="1" bestFit="1"/>
    <col min="29" max="29" style="159" width="13.576428571428572" customWidth="1" bestFit="1"/>
    <col min="30" max="30" style="159" width="13.576428571428572" customWidth="1" bestFit="1"/>
    <col min="31" max="31" style="159" width="13.576428571428572" customWidth="1" bestFit="1"/>
    <col min="32" max="32" style="159" width="13.576428571428572" customWidth="1" bestFit="1"/>
    <col min="33" max="33" style="159" width="13.576428571428572" customWidth="1" bestFit="1"/>
    <col min="34" max="34" style="159" width="13.576428571428572" customWidth="1" bestFit="1"/>
    <col min="35" max="35" style="158" width="13.576428571428572" customWidth="1" bestFit="1"/>
    <col min="36" max="36" style="158" width="13.576428571428572" customWidth="1" bestFit="1"/>
    <col min="37" max="37" style="158" width="10.576428571428572" customWidth="1" bestFit="1"/>
    <col min="38" max="38" style="158" width="14.290714285714287" customWidth="1" bestFit="1"/>
    <col min="39" max="39" style="158" width="34.29071428571429" customWidth="1" bestFit="1"/>
    <col min="40" max="40" style="160" width="9.005" customWidth="1" bestFit="1"/>
    <col min="41" max="41" style="158" width="13.862142857142858" customWidth="1" bestFit="1"/>
  </cols>
  <sheetData>
    <row x14ac:dyDescent="0.25" r="1" customHeight="1" ht="18.75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  <c r="AK1" s="1"/>
      <c r="AL1" s="1"/>
      <c r="AM1" s="1"/>
      <c r="AN1" s="3"/>
      <c r="AO1" s="1"/>
    </row>
    <row x14ac:dyDescent="0.25" r="2" customHeight="1" ht="18.7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  <c r="AJ2" s="1"/>
      <c r="AK2" s="1"/>
      <c r="AL2" s="1"/>
      <c r="AM2" s="1"/>
      <c r="AN2" s="3"/>
      <c r="AO2" s="1"/>
    </row>
    <row x14ac:dyDescent="0.25" r="3" customHeight="1" ht="18.75">
      <c r="A3" s="1"/>
      <c r="B3" s="4" t="s">
        <v>0</v>
      </c>
      <c r="C3" s="5"/>
      <c r="D3" s="6"/>
      <c r="E3" s="172" t="s">
        <v>84</v>
      </c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4"/>
      <c r="AI3" s="1"/>
      <c r="AJ3" s="1"/>
      <c r="AK3" s="1"/>
      <c r="AL3" s="1"/>
      <c r="AM3" s="1"/>
      <c r="AN3" s="3"/>
      <c r="AO3" s="1"/>
    </row>
    <row x14ac:dyDescent="0.25" r="4" customHeight="1" ht="18.75">
      <c r="A4" s="1"/>
      <c r="B4" s="11" t="s">
        <v>2</v>
      </c>
      <c r="C4" s="12"/>
      <c r="D4" s="13"/>
      <c r="E4" s="14" t="s">
        <v>9</v>
      </c>
      <c r="F4" s="15" t="s">
        <v>3</v>
      </c>
      <c r="G4" s="15" t="s">
        <v>4</v>
      </c>
      <c r="H4" s="15" t="s">
        <v>5</v>
      </c>
      <c r="I4" s="15" t="s">
        <v>6</v>
      </c>
      <c r="J4" s="15" t="s">
        <v>7</v>
      </c>
      <c r="K4" s="15" t="s">
        <v>8</v>
      </c>
      <c r="L4" s="15" t="s">
        <v>9</v>
      </c>
      <c r="M4" s="15" t="s">
        <v>3</v>
      </c>
      <c r="N4" s="15" t="s">
        <v>4</v>
      </c>
      <c r="O4" s="15" t="s">
        <v>5</v>
      </c>
      <c r="P4" s="15" t="s">
        <v>6</v>
      </c>
      <c r="Q4" s="15" t="s">
        <v>7</v>
      </c>
      <c r="R4" s="15" t="s">
        <v>8</v>
      </c>
      <c r="S4" s="15" t="s">
        <v>9</v>
      </c>
      <c r="T4" s="15" t="s">
        <v>3</v>
      </c>
      <c r="U4" s="15" t="s">
        <v>4</v>
      </c>
      <c r="V4" s="15" t="s">
        <v>5</v>
      </c>
      <c r="W4" s="15" t="s">
        <v>6</v>
      </c>
      <c r="X4" s="15" t="s">
        <v>7</v>
      </c>
      <c r="Y4" s="15" t="s">
        <v>8</v>
      </c>
      <c r="Z4" s="15" t="s">
        <v>9</v>
      </c>
      <c r="AA4" s="15" t="s">
        <v>3</v>
      </c>
      <c r="AB4" s="15" t="s">
        <v>4</v>
      </c>
      <c r="AC4" s="15" t="s">
        <v>5</v>
      </c>
      <c r="AD4" s="15" t="s">
        <v>6</v>
      </c>
      <c r="AE4" s="15" t="s">
        <v>7</v>
      </c>
      <c r="AF4" s="15" t="s">
        <v>8</v>
      </c>
      <c r="AG4" s="15" t="s">
        <v>9</v>
      </c>
      <c r="AH4" s="16" t="s">
        <v>3</v>
      </c>
      <c r="AI4" s="1"/>
      <c r="AJ4" s="1"/>
      <c r="AK4" s="1"/>
      <c r="AL4" s="1"/>
      <c r="AM4" s="1"/>
      <c r="AN4" s="3"/>
      <c r="AO4" s="1"/>
    </row>
    <row x14ac:dyDescent="0.25" r="5" customHeight="1" ht="18.75">
      <c r="A5" s="1"/>
      <c r="B5" s="18" t="s">
        <v>10</v>
      </c>
      <c r="C5" s="19" t="s">
        <v>11</v>
      </c>
      <c r="D5" s="20" t="s">
        <v>12</v>
      </c>
      <c r="E5" s="175">
        <v>45474</v>
      </c>
      <c r="F5" s="176">
        <v>45475</v>
      </c>
      <c r="G5" s="176">
        <v>45476</v>
      </c>
      <c r="H5" s="176">
        <v>45477</v>
      </c>
      <c r="I5" s="176">
        <v>45478</v>
      </c>
      <c r="J5" s="176">
        <v>45479</v>
      </c>
      <c r="K5" s="176">
        <v>45480</v>
      </c>
      <c r="L5" s="176">
        <v>45481</v>
      </c>
      <c r="M5" s="176">
        <v>45482</v>
      </c>
      <c r="N5" s="176">
        <v>45483</v>
      </c>
      <c r="O5" s="176">
        <v>45484</v>
      </c>
      <c r="P5" s="176">
        <v>45485</v>
      </c>
      <c r="Q5" s="176">
        <v>45486</v>
      </c>
      <c r="R5" s="176">
        <v>45487</v>
      </c>
      <c r="S5" s="176">
        <v>45488</v>
      </c>
      <c r="T5" s="176">
        <v>45489</v>
      </c>
      <c r="U5" s="176">
        <v>45490</v>
      </c>
      <c r="V5" s="176">
        <v>45491</v>
      </c>
      <c r="W5" s="176">
        <v>45492</v>
      </c>
      <c r="X5" s="176">
        <v>45493</v>
      </c>
      <c r="Y5" s="176">
        <v>45494</v>
      </c>
      <c r="Z5" s="176">
        <v>45495</v>
      </c>
      <c r="AA5" s="176">
        <v>45496</v>
      </c>
      <c r="AB5" s="176">
        <v>45497</v>
      </c>
      <c r="AC5" s="176">
        <v>45498</v>
      </c>
      <c r="AD5" s="176">
        <v>45499</v>
      </c>
      <c r="AE5" s="176">
        <v>45500</v>
      </c>
      <c r="AF5" s="176">
        <v>45501</v>
      </c>
      <c r="AG5" s="176">
        <v>45502</v>
      </c>
      <c r="AH5" s="177">
        <v>45503</v>
      </c>
      <c r="AI5" s="1"/>
      <c r="AJ5" s="1"/>
      <c r="AK5" s="1"/>
      <c r="AL5" s="1"/>
      <c r="AM5" s="1"/>
      <c r="AN5" s="3"/>
      <c r="AO5" s="1"/>
    </row>
    <row x14ac:dyDescent="0.25" r="6" customHeight="1" ht="18.75">
      <c r="A6" s="1"/>
      <c r="B6" s="25" t="s">
        <v>17</v>
      </c>
      <c r="C6" s="26" t="s">
        <v>18</v>
      </c>
      <c r="D6" s="27">
        <v>19371</v>
      </c>
      <c r="E6" s="81" t="s">
        <v>21</v>
      </c>
      <c r="F6" s="63" t="s">
        <v>21</v>
      </c>
      <c r="G6" s="64" t="s">
        <v>19</v>
      </c>
      <c r="H6" s="64" t="s">
        <v>19</v>
      </c>
      <c r="I6" s="64" t="s">
        <v>19</v>
      </c>
      <c r="J6" s="64" t="s">
        <v>19</v>
      </c>
      <c r="K6" s="63" t="s">
        <v>23</v>
      </c>
      <c r="L6" s="63" t="s">
        <v>23</v>
      </c>
      <c r="M6" s="63" t="s">
        <v>21</v>
      </c>
      <c r="N6" s="63" t="s">
        <v>21</v>
      </c>
      <c r="O6" s="64" t="s">
        <v>19</v>
      </c>
      <c r="P6" s="64" t="s">
        <v>19</v>
      </c>
      <c r="Q6" s="64" t="s">
        <v>19</v>
      </c>
      <c r="R6" s="64" t="s">
        <v>19</v>
      </c>
      <c r="S6" s="63" t="s">
        <v>23</v>
      </c>
      <c r="T6" s="63" t="s">
        <v>23</v>
      </c>
      <c r="U6" s="63" t="s">
        <v>21</v>
      </c>
      <c r="V6" s="63" t="s">
        <v>21</v>
      </c>
      <c r="W6" s="64" t="s">
        <v>19</v>
      </c>
      <c r="X6" s="64" t="s">
        <v>19</v>
      </c>
      <c r="Y6" s="64" t="s">
        <v>19</v>
      </c>
      <c r="Z6" s="64" t="s">
        <v>19</v>
      </c>
      <c r="AA6" s="63" t="s">
        <v>23</v>
      </c>
      <c r="AB6" s="63" t="s">
        <v>23</v>
      </c>
      <c r="AC6" s="63" t="s">
        <v>21</v>
      </c>
      <c r="AD6" s="63" t="s">
        <v>21</v>
      </c>
      <c r="AE6" s="64" t="s">
        <v>19</v>
      </c>
      <c r="AF6" s="64" t="s">
        <v>19</v>
      </c>
      <c r="AG6" s="64" t="s">
        <v>19</v>
      </c>
      <c r="AH6" s="66" t="s">
        <v>19</v>
      </c>
      <c r="AI6" s="1"/>
      <c r="AJ6" s="1"/>
      <c r="AK6" s="1"/>
      <c r="AL6" s="1"/>
      <c r="AM6" s="1"/>
      <c r="AN6" s="3"/>
      <c r="AO6" s="1"/>
    </row>
    <row x14ac:dyDescent="0.25" r="7" customHeight="1" ht="18.75">
      <c r="A7" s="1"/>
      <c r="B7" s="36"/>
      <c r="C7" s="37" t="s">
        <v>25</v>
      </c>
      <c r="D7" s="38">
        <v>40516</v>
      </c>
      <c r="E7" s="84" t="s">
        <v>21</v>
      </c>
      <c r="F7" s="40" t="s">
        <v>21</v>
      </c>
      <c r="G7" s="41" t="s">
        <v>19</v>
      </c>
      <c r="H7" s="41" t="s">
        <v>19</v>
      </c>
      <c r="I7" s="41" t="s">
        <v>19</v>
      </c>
      <c r="J7" s="41" t="s">
        <v>19</v>
      </c>
      <c r="K7" s="40" t="s">
        <v>23</v>
      </c>
      <c r="L7" s="40" t="s">
        <v>23</v>
      </c>
      <c r="M7" s="40" t="s">
        <v>21</v>
      </c>
      <c r="N7" s="40" t="s">
        <v>21</v>
      </c>
      <c r="O7" s="41" t="s">
        <v>19</v>
      </c>
      <c r="P7" s="41" t="s">
        <v>19</v>
      </c>
      <c r="Q7" s="41" t="s">
        <v>19</v>
      </c>
      <c r="R7" s="41" t="s">
        <v>19</v>
      </c>
      <c r="S7" s="40" t="s">
        <v>23</v>
      </c>
      <c r="T7" s="40" t="s">
        <v>23</v>
      </c>
      <c r="U7" s="40" t="s">
        <v>21</v>
      </c>
      <c r="V7" s="40" t="s">
        <v>21</v>
      </c>
      <c r="W7" s="41" t="s">
        <v>19</v>
      </c>
      <c r="X7" s="41" t="s">
        <v>19</v>
      </c>
      <c r="Y7" s="41" t="s">
        <v>19</v>
      </c>
      <c r="Z7" s="41" t="s">
        <v>19</v>
      </c>
      <c r="AA7" s="40" t="s">
        <v>23</v>
      </c>
      <c r="AB7" s="40" t="s">
        <v>23</v>
      </c>
      <c r="AC7" s="40" t="s">
        <v>21</v>
      </c>
      <c r="AD7" s="40" t="s">
        <v>21</v>
      </c>
      <c r="AE7" s="41" t="s">
        <v>19</v>
      </c>
      <c r="AF7" s="41" t="s">
        <v>19</v>
      </c>
      <c r="AG7" s="41" t="s">
        <v>19</v>
      </c>
      <c r="AH7" s="142" t="s">
        <v>19</v>
      </c>
      <c r="AI7" s="1"/>
      <c r="AJ7" s="1"/>
      <c r="AK7" s="45" t="s">
        <v>85</v>
      </c>
      <c r="AL7" s="46"/>
      <c r="AM7" s="46"/>
      <c r="AN7" s="47"/>
      <c r="AO7" s="48"/>
    </row>
    <row x14ac:dyDescent="0.25" r="8" customHeight="1" ht="18.75">
      <c r="A8" s="1"/>
      <c r="B8" s="36"/>
      <c r="C8" s="49" t="s">
        <v>28</v>
      </c>
      <c r="D8" s="50">
        <v>17983</v>
      </c>
      <c r="E8" s="74" t="s">
        <v>21</v>
      </c>
      <c r="F8" s="52" t="s">
        <v>21</v>
      </c>
      <c r="G8" s="54" t="s">
        <v>19</v>
      </c>
      <c r="H8" s="54" t="s">
        <v>19</v>
      </c>
      <c r="I8" s="54" t="s">
        <v>19</v>
      </c>
      <c r="J8" s="54" t="s">
        <v>19</v>
      </c>
      <c r="K8" s="52" t="s">
        <v>23</v>
      </c>
      <c r="L8" s="52" t="s">
        <v>23</v>
      </c>
      <c r="M8" s="52" t="s">
        <v>21</v>
      </c>
      <c r="N8" s="52" t="s">
        <v>21</v>
      </c>
      <c r="O8" s="54" t="s">
        <v>19</v>
      </c>
      <c r="P8" s="54" t="s">
        <v>19</v>
      </c>
      <c r="Q8" s="54" t="s">
        <v>19</v>
      </c>
      <c r="R8" s="54" t="s">
        <v>19</v>
      </c>
      <c r="S8" s="52" t="s">
        <v>23</v>
      </c>
      <c r="T8" s="52" t="s">
        <v>23</v>
      </c>
      <c r="U8" s="52" t="s">
        <v>21</v>
      </c>
      <c r="V8" s="52" t="s">
        <v>21</v>
      </c>
      <c r="W8" s="54" t="s">
        <v>19</v>
      </c>
      <c r="X8" s="54" t="s">
        <v>19</v>
      </c>
      <c r="Y8" s="54" t="s">
        <v>19</v>
      </c>
      <c r="Z8" s="54" t="s">
        <v>19</v>
      </c>
      <c r="AA8" s="52" t="s">
        <v>23</v>
      </c>
      <c r="AB8" s="52" t="s">
        <v>23</v>
      </c>
      <c r="AC8" s="52" t="s">
        <v>21</v>
      </c>
      <c r="AD8" s="52" t="s">
        <v>21</v>
      </c>
      <c r="AE8" s="54" t="s">
        <v>19</v>
      </c>
      <c r="AF8" s="54" t="s">
        <v>19</v>
      </c>
      <c r="AG8" s="54" t="s">
        <v>19</v>
      </c>
      <c r="AH8" s="57" t="s">
        <v>19</v>
      </c>
      <c r="AI8" s="1"/>
      <c r="AJ8" s="1"/>
      <c r="AK8" s="58" t="s">
        <v>30</v>
      </c>
      <c r="AL8" s="59" t="s">
        <v>31</v>
      </c>
      <c r="AM8" s="59" t="s">
        <v>32</v>
      </c>
      <c r="AN8" s="60" t="s">
        <v>33</v>
      </c>
      <c r="AO8" s="61" t="s">
        <v>34</v>
      </c>
    </row>
    <row x14ac:dyDescent="0.25" r="9" customHeight="1" ht="18.75">
      <c r="A9" s="1"/>
      <c r="B9" s="25" t="s">
        <v>35</v>
      </c>
      <c r="C9" s="62" t="s">
        <v>36</v>
      </c>
      <c r="D9" s="27">
        <v>19575</v>
      </c>
      <c r="E9" s="96" t="s">
        <v>19</v>
      </c>
      <c r="F9" s="64" t="s">
        <v>19</v>
      </c>
      <c r="G9" s="64" t="s">
        <v>19</v>
      </c>
      <c r="H9" s="64" t="s">
        <v>19</v>
      </c>
      <c r="I9" s="63" t="s">
        <v>23</v>
      </c>
      <c r="J9" s="63" t="s">
        <v>23</v>
      </c>
      <c r="K9" s="63" t="s">
        <v>21</v>
      </c>
      <c r="L9" s="63" t="s">
        <v>21</v>
      </c>
      <c r="M9" s="64" t="s">
        <v>19</v>
      </c>
      <c r="N9" s="64" t="s">
        <v>19</v>
      </c>
      <c r="O9" s="64" t="s">
        <v>19</v>
      </c>
      <c r="P9" s="64" t="s">
        <v>19</v>
      </c>
      <c r="Q9" s="63" t="s">
        <v>23</v>
      </c>
      <c r="R9" s="63" t="s">
        <v>23</v>
      </c>
      <c r="S9" s="63" t="s">
        <v>21</v>
      </c>
      <c r="T9" s="63" t="s">
        <v>21</v>
      </c>
      <c r="U9" s="64" t="s">
        <v>19</v>
      </c>
      <c r="V9" s="64" t="s">
        <v>19</v>
      </c>
      <c r="W9" s="64" t="s">
        <v>19</v>
      </c>
      <c r="X9" s="64" t="s">
        <v>19</v>
      </c>
      <c r="Y9" s="63" t="s">
        <v>23</v>
      </c>
      <c r="Z9" s="63" t="s">
        <v>23</v>
      </c>
      <c r="AA9" s="63" t="s">
        <v>21</v>
      </c>
      <c r="AB9" s="63" t="s">
        <v>21</v>
      </c>
      <c r="AC9" s="64" t="s">
        <v>19</v>
      </c>
      <c r="AD9" s="64" t="s">
        <v>19</v>
      </c>
      <c r="AE9" s="64" t="s">
        <v>19</v>
      </c>
      <c r="AF9" s="64" t="s">
        <v>19</v>
      </c>
      <c r="AG9" s="63" t="s">
        <v>23</v>
      </c>
      <c r="AH9" s="82" t="s">
        <v>23</v>
      </c>
      <c r="AI9" s="1"/>
      <c r="AJ9" s="1"/>
      <c r="AK9" s="128" t="s">
        <v>86</v>
      </c>
      <c r="AL9" s="68" t="s">
        <v>39</v>
      </c>
      <c r="AM9" s="69" t="s">
        <v>87</v>
      </c>
      <c r="AN9" s="97">
        <v>45539</v>
      </c>
      <c r="AO9" s="71" t="s">
        <v>41</v>
      </c>
    </row>
    <row x14ac:dyDescent="0.25" r="10" customHeight="1" ht="18.75">
      <c r="A10" s="1"/>
      <c r="B10" s="72"/>
      <c r="C10" s="73" t="s">
        <v>42</v>
      </c>
      <c r="D10" s="50">
        <v>17826</v>
      </c>
      <c r="E10" s="143" t="s">
        <v>19</v>
      </c>
      <c r="F10" s="114" t="s">
        <v>19</v>
      </c>
      <c r="G10" s="114" t="s">
        <v>19</v>
      </c>
      <c r="H10" s="114" t="s">
        <v>19</v>
      </c>
      <c r="I10" s="113" t="s">
        <v>23</v>
      </c>
      <c r="J10" s="113" t="s">
        <v>23</v>
      </c>
      <c r="K10" s="113" t="s">
        <v>21</v>
      </c>
      <c r="L10" s="113" t="s">
        <v>21</v>
      </c>
      <c r="M10" s="114" t="s">
        <v>19</v>
      </c>
      <c r="N10" s="114" t="s">
        <v>19</v>
      </c>
      <c r="O10" s="114" t="s">
        <v>19</v>
      </c>
      <c r="P10" s="114" t="s">
        <v>19</v>
      </c>
      <c r="Q10" s="113" t="s">
        <v>23</v>
      </c>
      <c r="R10" s="113" t="s">
        <v>23</v>
      </c>
      <c r="S10" s="113" t="s">
        <v>21</v>
      </c>
      <c r="T10" s="113" t="s">
        <v>21</v>
      </c>
      <c r="U10" s="114" t="s">
        <v>19</v>
      </c>
      <c r="V10" s="114" t="s">
        <v>19</v>
      </c>
      <c r="W10" s="114" t="s">
        <v>19</v>
      </c>
      <c r="X10" s="114" t="s">
        <v>19</v>
      </c>
      <c r="Y10" s="113" t="s">
        <v>23</v>
      </c>
      <c r="Z10" s="113" t="s">
        <v>23</v>
      </c>
      <c r="AA10" s="113" t="s">
        <v>21</v>
      </c>
      <c r="AB10" s="113" t="s">
        <v>21</v>
      </c>
      <c r="AC10" s="114" t="s">
        <v>19</v>
      </c>
      <c r="AD10" s="114" t="s">
        <v>19</v>
      </c>
      <c r="AE10" s="114" t="s">
        <v>19</v>
      </c>
      <c r="AF10" s="114" t="s">
        <v>19</v>
      </c>
      <c r="AG10" s="113" t="s">
        <v>23</v>
      </c>
      <c r="AH10" s="156" t="s">
        <v>23</v>
      </c>
      <c r="AI10" s="1"/>
      <c r="AJ10" s="1"/>
      <c r="AK10" s="178"/>
      <c r="AL10" s="76"/>
      <c r="AM10" s="77" t="s">
        <v>88</v>
      </c>
      <c r="AN10" s="105">
        <v>45553</v>
      </c>
      <c r="AO10" s="79"/>
    </row>
    <row x14ac:dyDescent="0.25" r="11" customHeight="1" ht="18.75">
      <c r="A11" s="1"/>
      <c r="B11" s="25" t="s">
        <v>44</v>
      </c>
      <c r="C11" s="80" t="s">
        <v>45</v>
      </c>
      <c r="D11" s="27">
        <v>19612</v>
      </c>
      <c r="E11" s="96" t="s">
        <v>19</v>
      </c>
      <c r="F11" s="64" t="s">
        <v>19</v>
      </c>
      <c r="G11" s="63" t="s">
        <v>23</v>
      </c>
      <c r="H11" s="179" t="s">
        <v>23</v>
      </c>
      <c r="I11" s="63" t="s">
        <v>21</v>
      </c>
      <c r="J11" s="63" t="s">
        <v>21</v>
      </c>
      <c r="K11" s="64" t="s">
        <v>19</v>
      </c>
      <c r="L11" s="64" t="s">
        <v>19</v>
      </c>
      <c r="M11" s="64" t="s">
        <v>19</v>
      </c>
      <c r="N11" s="64" t="s">
        <v>19</v>
      </c>
      <c r="O11" s="63" t="s">
        <v>23</v>
      </c>
      <c r="P11" s="63" t="s">
        <v>23</v>
      </c>
      <c r="Q11" s="63" t="s">
        <v>21</v>
      </c>
      <c r="R11" s="63" t="s">
        <v>21</v>
      </c>
      <c r="S11" s="64" t="s">
        <v>19</v>
      </c>
      <c r="T11" s="64" t="s">
        <v>19</v>
      </c>
      <c r="U11" s="64" t="s">
        <v>19</v>
      </c>
      <c r="V11" s="64" t="s">
        <v>19</v>
      </c>
      <c r="W11" s="63" t="s">
        <v>23</v>
      </c>
      <c r="X11" s="63" t="s">
        <v>23</v>
      </c>
      <c r="Y11" s="63" t="s">
        <v>21</v>
      </c>
      <c r="Z11" s="63" t="s">
        <v>21</v>
      </c>
      <c r="AA11" s="64" t="s">
        <v>19</v>
      </c>
      <c r="AB11" s="64" t="s">
        <v>19</v>
      </c>
      <c r="AC11" s="64" t="s">
        <v>19</v>
      </c>
      <c r="AD11" s="64" t="s">
        <v>19</v>
      </c>
      <c r="AE11" s="63" t="s">
        <v>23</v>
      </c>
      <c r="AF11" s="63" t="s">
        <v>23</v>
      </c>
      <c r="AG11" s="63" t="s">
        <v>21</v>
      </c>
      <c r="AH11" s="82" t="s">
        <v>21</v>
      </c>
      <c r="AI11" s="1"/>
      <c r="AJ11" s="1"/>
      <c r="AK11" s="178"/>
      <c r="AL11" s="76"/>
      <c r="AM11" s="77"/>
      <c r="AN11" s="105"/>
      <c r="AO11" s="79"/>
    </row>
    <row x14ac:dyDescent="0.25" r="12" customHeight="1" ht="15.75">
      <c r="A12" s="1"/>
      <c r="B12" s="36"/>
      <c r="C12" s="83" t="s">
        <v>47</v>
      </c>
      <c r="D12" s="50">
        <v>18615</v>
      </c>
      <c r="E12" s="39" t="s">
        <v>19</v>
      </c>
      <c r="F12" s="41" t="s">
        <v>19</v>
      </c>
      <c r="G12" s="40" t="s">
        <v>23</v>
      </c>
      <c r="H12" s="153" t="s">
        <v>23</v>
      </c>
      <c r="I12" s="40" t="s">
        <v>21</v>
      </c>
      <c r="J12" s="40" t="s">
        <v>21</v>
      </c>
      <c r="K12" s="41" t="s">
        <v>19</v>
      </c>
      <c r="L12" s="41" t="s">
        <v>19</v>
      </c>
      <c r="M12" s="41" t="s">
        <v>19</v>
      </c>
      <c r="N12" s="41" t="s">
        <v>19</v>
      </c>
      <c r="O12" s="40" t="s">
        <v>23</v>
      </c>
      <c r="P12" s="40" t="s">
        <v>23</v>
      </c>
      <c r="Q12" s="40" t="s">
        <v>21</v>
      </c>
      <c r="R12" s="40" t="s">
        <v>21</v>
      </c>
      <c r="S12" s="41" t="s">
        <v>19</v>
      </c>
      <c r="T12" s="41" t="s">
        <v>19</v>
      </c>
      <c r="U12" s="41" t="s">
        <v>19</v>
      </c>
      <c r="V12" s="41" t="s">
        <v>19</v>
      </c>
      <c r="W12" s="40" t="s">
        <v>23</v>
      </c>
      <c r="X12" s="40" t="s">
        <v>23</v>
      </c>
      <c r="Y12" s="40" t="s">
        <v>21</v>
      </c>
      <c r="Z12" s="40" t="s">
        <v>21</v>
      </c>
      <c r="AA12" s="41" t="s">
        <v>19</v>
      </c>
      <c r="AB12" s="41" t="s">
        <v>19</v>
      </c>
      <c r="AC12" s="41" t="s">
        <v>19</v>
      </c>
      <c r="AD12" s="41" t="s">
        <v>19</v>
      </c>
      <c r="AE12" s="40" t="s">
        <v>23</v>
      </c>
      <c r="AF12" s="40" t="s">
        <v>23</v>
      </c>
      <c r="AG12" s="40" t="s">
        <v>21</v>
      </c>
      <c r="AH12" s="86" t="s">
        <v>21</v>
      </c>
      <c r="AI12" s="1"/>
      <c r="AJ12" s="1"/>
      <c r="AK12" s="178"/>
      <c r="AL12" s="76"/>
      <c r="AM12" s="77"/>
      <c r="AN12" s="105"/>
      <c r="AO12" s="79"/>
    </row>
    <row x14ac:dyDescent="0.25" r="13" customHeight="1" ht="16.5">
      <c r="A13" s="1"/>
      <c r="B13" s="36"/>
      <c r="C13" s="87" t="s">
        <v>49</v>
      </c>
      <c r="D13" s="50">
        <v>21295</v>
      </c>
      <c r="E13" s="143" t="s">
        <v>19</v>
      </c>
      <c r="F13" s="114" t="s">
        <v>19</v>
      </c>
      <c r="G13" s="113" t="s">
        <v>23</v>
      </c>
      <c r="H13" s="113" t="s">
        <v>23</v>
      </c>
      <c r="I13" s="113" t="s">
        <v>21</v>
      </c>
      <c r="J13" s="113" t="s">
        <v>21</v>
      </c>
      <c r="K13" s="114" t="s">
        <v>19</v>
      </c>
      <c r="L13" s="114" t="s">
        <v>19</v>
      </c>
      <c r="M13" s="114" t="s">
        <v>19</v>
      </c>
      <c r="N13" s="114" t="s">
        <v>19</v>
      </c>
      <c r="O13" s="113" t="s">
        <v>23</v>
      </c>
      <c r="P13" s="113" t="s">
        <v>23</v>
      </c>
      <c r="Q13" s="113" t="s">
        <v>21</v>
      </c>
      <c r="R13" s="113" t="s">
        <v>21</v>
      </c>
      <c r="S13" s="114" t="s">
        <v>19</v>
      </c>
      <c r="T13" s="114" t="s">
        <v>19</v>
      </c>
      <c r="U13" s="114" t="s">
        <v>19</v>
      </c>
      <c r="V13" s="114" t="s">
        <v>19</v>
      </c>
      <c r="W13" s="113" t="s">
        <v>23</v>
      </c>
      <c r="X13" s="113" t="s">
        <v>23</v>
      </c>
      <c r="Y13" s="113" t="s">
        <v>21</v>
      </c>
      <c r="Z13" s="113" t="s">
        <v>21</v>
      </c>
      <c r="AA13" s="114" t="s">
        <v>19</v>
      </c>
      <c r="AB13" s="114" t="s">
        <v>19</v>
      </c>
      <c r="AC13" s="114" t="s">
        <v>19</v>
      </c>
      <c r="AD13" s="114" t="s">
        <v>19</v>
      </c>
      <c r="AE13" s="113" t="s">
        <v>23</v>
      </c>
      <c r="AF13" s="113" t="s">
        <v>23</v>
      </c>
      <c r="AG13" s="113" t="s">
        <v>21</v>
      </c>
      <c r="AH13" s="156" t="s">
        <v>21</v>
      </c>
      <c r="AI13" s="1"/>
      <c r="AJ13" s="1"/>
      <c r="AK13" s="178"/>
      <c r="AL13" s="92"/>
      <c r="AM13" s="93"/>
      <c r="AN13" s="180"/>
      <c r="AO13" s="79"/>
    </row>
    <row x14ac:dyDescent="0.25" r="14" customHeight="1" ht="18.75">
      <c r="A14" s="1"/>
      <c r="B14" s="25" t="s">
        <v>23</v>
      </c>
      <c r="C14" s="95" t="s">
        <v>51</v>
      </c>
      <c r="D14" s="27">
        <v>19573</v>
      </c>
      <c r="E14" s="81" t="s">
        <v>23</v>
      </c>
      <c r="F14" s="63" t="s">
        <v>23</v>
      </c>
      <c r="G14" s="63" t="s">
        <v>21</v>
      </c>
      <c r="H14" s="63" t="s">
        <v>21</v>
      </c>
      <c r="I14" s="64" t="s">
        <v>19</v>
      </c>
      <c r="J14" s="64" t="s">
        <v>19</v>
      </c>
      <c r="K14" s="64" t="s">
        <v>19</v>
      </c>
      <c r="L14" s="64" t="s">
        <v>19</v>
      </c>
      <c r="M14" s="63" t="s">
        <v>23</v>
      </c>
      <c r="N14" s="63" t="s">
        <v>23</v>
      </c>
      <c r="O14" s="63" t="s">
        <v>21</v>
      </c>
      <c r="P14" s="63" t="s">
        <v>21</v>
      </c>
      <c r="Q14" s="64" t="s">
        <v>19</v>
      </c>
      <c r="R14" s="64" t="s">
        <v>19</v>
      </c>
      <c r="S14" s="64" t="s">
        <v>19</v>
      </c>
      <c r="T14" s="64" t="s">
        <v>19</v>
      </c>
      <c r="U14" s="63" t="s">
        <v>23</v>
      </c>
      <c r="V14" s="153" t="s">
        <v>23</v>
      </c>
      <c r="W14" s="63" t="s">
        <v>21</v>
      </c>
      <c r="X14" s="63" t="s">
        <v>21</v>
      </c>
      <c r="Y14" s="64" t="s">
        <v>19</v>
      </c>
      <c r="Z14" s="64" t="s">
        <v>19</v>
      </c>
      <c r="AA14" s="64" t="s">
        <v>19</v>
      </c>
      <c r="AB14" s="64" t="s">
        <v>19</v>
      </c>
      <c r="AC14" s="63" t="s">
        <v>23</v>
      </c>
      <c r="AD14" s="63" t="s">
        <v>23</v>
      </c>
      <c r="AE14" s="63" t="s">
        <v>21</v>
      </c>
      <c r="AF14" s="63" t="s">
        <v>21</v>
      </c>
      <c r="AG14" s="64" t="s">
        <v>19</v>
      </c>
      <c r="AH14" s="66" t="s">
        <v>19</v>
      </c>
      <c r="AI14" s="1"/>
      <c r="AJ14" s="1"/>
      <c r="AK14" s="181" t="s">
        <v>52</v>
      </c>
      <c r="AL14" s="68" t="s">
        <v>53</v>
      </c>
      <c r="AM14" s="69" t="s">
        <v>89</v>
      </c>
      <c r="AN14" s="97">
        <v>45538</v>
      </c>
      <c r="AO14" s="98" t="s">
        <v>55</v>
      </c>
    </row>
    <row x14ac:dyDescent="0.25" r="15" customHeight="1" ht="18.75">
      <c r="A15" s="1"/>
      <c r="B15" s="36"/>
      <c r="C15" s="99" t="s">
        <v>56</v>
      </c>
      <c r="D15" s="100">
        <v>18383</v>
      </c>
      <c r="E15" s="84" t="s">
        <v>23</v>
      </c>
      <c r="F15" s="40" t="s">
        <v>23</v>
      </c>
      <c r="G15" s="40" t="s">
        <v>21</v>
      </c>
      <c r="H15" s="40" t="s">
        <v>21</v>
      </c>
      <c r="I15" s="41" t="s">
        <v>19</v>
      </c>
      <c r="J15" s="41" t="s">
        <v>19</v>
      </c>
      <c r="K15" s="41" t="s">
        <v>19</v>
      </c>
      <c r="L15" s="41" t="s">
        <v>19</v>
      </c>
      <c r="M15" s="40" t="s">
        <v>23</v>
      </c>
      <c r="N15" s="40" t="s">
        <v>23</v>
      </c>
      <c r="O15" s="40" t="s">
        <v>21</v>
      </c>
      <c r="P15" s="40" t="s">
        <v>21</v>
      </c>
      <c r="Q15" s="41" t="s">
        <v>19</v>
      </c>
      <c r="R15" s="41" t="s">
        <v>19</v>
      </c>
      <c r="S15" s="41" t="s">
        <v>19</v>
      </c>
      <c r="T15" s="41" t="s">
        <v>19</v>
      </c>
      <c r="U15" s="40" t="s">
        <v>23</v>
      </c>
      <c r="V15" s="40" t="s">
        <v>23</v>
      </c>
      <c r="W15" s="40" t="s">
        <v>21</v>
      </c>
      <c r="X15" s="40" t="s">
        <v>21</v>
      </c>
      <c r="Y15" s="41" t="s">
        <v>19</v>
      </c>
      <c r="Z15" s="41" t="s">
        <v>19</v>
      </c>
      <c r="AA15" s="41" t="s">
        <v>19</v>
      </c>
      <c r="AB15" s="41" t="s">
        <v>19</v>
      </c>
      <c r="AC15" s="40" t="s">
        <v>23</v>
      </c>
      <c r="AD15" s="40" t="s">
        <v>23</v>
      </c>
      <c r="AE15" s="40" t="s">
        <v>21</v>
      </c>
      <c r="AF15" s="40" t="s">
        <v>21</v>
      </c>
      <c r="AG15" s="41" t="s">
        <v>19</v>
      </c>
      <c r="AH15" s="142" t="s">
        <v>19</v>
      </c>
      <c r="AI15" s="1"/>
      <c r="AJ15" s="1"/>
      <c r="AK15" s="182"/>
      <c r="AL15" s="103"/>
      <c r="AM15" s="104" t="s">
        <v>90</v>
      </c>
      <c r="AN15" s="105">
        <v>45543</v>
      </c>
      <c r="AO15" s="106"/>
    </row>
    <row x14ac:dyDescent="0.25" r="16" customHeight="1" ht="18.75">
      <c r="A16" s="1"/>
      <c r="B16" s="72"/>
      <c r="C16" s="107" t="s">
        <v>58</v>
      </c>
      <c r="D16" s="108">
        <v>24132</v>
      </c>
      <c r="E16" s="112" t="s">
        <v>23</v>
      </c>
      <c r="F16" s="113" t="s">
        <v>23</v>
      </c>
      <c r="G16" s="113" t="s">
        <v>21</v>
      </c>
      <c r="H16" s="113" t="s">
        <v>21</v>
      </c>
      <c r="I16" s="114" t="s">
        <v>19</v>
      </c>
      <c r="J16" s="114" t="s">
        <v>19</v>
      </c>
      <c r="K16" s="114" t="s">
        <v>19</v>
      </c>
      <c r="L16" s="114" t="s">
        <v>19</v>
      </c>
      <c r="M16" s="113" t="s">
        <v>23</v>
      </c>
      <c r="N16" s="113" t="s">
        <v>23</v>
      </c>
      <c r="O16" s="113" t="s">
        <v>21</v>
      </c>
      <c r="P16" s="113" t="s">
        <v>21</v>
      </c>
      <c r="Q16" s="114" t="s">
        <v>19</v>
      </c>
      <c r="R16" s="114" t="s">
        <v>19</v>
      </c>
      <c r="S16" s="114" t="s">
        <v>19</v>
      </c>
      <c r="T16" s="114" t="s">
        <v>19</v>
      </c>
      <c r="U16" s="113" t="s">
        <v>23</v>
      </c>
      <c r="V16" s="113" t="s">
        <v>23</v>
      </c>
      <c r="W16" s="113" t="s">
        <v>21</v>
      </c>
      <c r="X16" s="113" t="s">
        <v>21</v>
      </c>
      <c r="Y16" s="114" t="s">
        <v>19</v>
      </c>
      <c r="Z16" s="114" t="s">
        <v>19</v>
      </c>
      <c r="AA16" s="114" t="s">
        <v>19</v>
      </c>
      <c r="AB16" s="114" t="s">
        <v>19</v>
      </c>
      <c r="AC16" s="113" t="s">
        <v>23</v>
      </c>
      <c r="AD16" s="113" t="s">
        <v>23</v>
      </c>
      <c r="AE16" s="113" t="s">
        <v>21</v>
      </c>
      <c r="AF16" s="113" t="s">
        <v>21</v>
      </c>
      <c r="AG16" s="114" t="s">
        <v>19</v>
      </c>
      <c r="AH16" s="116" t="s">
        <v>19</v>
      </c>
      <c r="AI16" s="1"/>
      <c r="AJ16" s="1"/>
      <c r="AK16" s="182"/>
      <c r="AL16" s="103"/>
      <c r="AM16" s="104" t="s">
        <v>91</v>
      </c>
      <c r="AN16" s="105">
        <v>45545</v>
      </c>
      <c r="AO16" s="106"/>
    </row>
    <row x14ac:dyDescent="0.25" r="17" customHeight="1" ht="18.75">
      <c r="A17" s="1"/>
      <c r="B17" s="109" t="s">
        <v>60</v>
      </c>
      <c r="C17" s="110" t="s">
        <v>61</v>
      </c>
      <c r="D17" s="111">
        <v>17997</v>
      </c>
      <c r="E17" s="183" t="s">
        <v>19</v>
      </c>
      <c r="F17" s="184" t="s">
        <v>19</v>
      </c>
      <c r="G17" s="184" t="s">
        <v>19</v>
      </c>
      <c r="H17" s="184" t="s">
        <v>19</v>
      </c>
      <c r="I17" s="185" t="s">
        <v>23</v>
      </c>
      <c r="J17" s="185" t="s">
        <v>23</v>
      </c>
      <c r="K17" s="185" t="s">
        <v>21</v>
      </c>
      <c r="L17" s="185" t="s">
        <v>21</v>
      </c>
      <c r="M17" s="184" t="s">
        <v>19</v>
      </c>
      <c r="N17" s="184" t="s">
        <v>19</v>
      </c>
      <c r="O17" s="184" t="s">
        <v>19</v>
      </c>
      <c r="P17" s="184" t="s">
        <v>19</v>
      </c>
      <c r="Q17" s="185" t="s">
        <v>23</v>
      </c>
      <c r="R17" s="185" t="s">
        <v>23</v>
      </c>
      <c r="S17" s="185" t="s">
        <v>21</v>
      </c>
      <c r="T17" s="185" t="s">
        <v>21</v>
      </c>
      <c r="U17" s="184" t="s">
        <v>19</v>
      </c>
      <c r="V17" s="184" t="s">
        <v>19</v>
      </c>
      <c r="W17" s="184" t="s">
        <v>19</v>
      </c>
      <c r="X17" s="184" t="s">
        <v>19</v>
      </c>
      <c r="Y17" s="185" t="s">
        <v>23</v>
      </c>
      <c r="Z17" s="185" t="s">
        <v>23</v>
      </c>
      <c r="AA17" s="185" t="s">
        <v>21</v>
      </c>
      <c r="AB17" s="185" t="s">
        <v>21</v>
      </c>
      <c r="AC17" s="184" t="s">
        <v>19</v>
      </c>
      <c r="AD17" s="184" t="s">
        <v>19</v>
      </c>
      <c r="AE17" s="184" t="s">
        <v>19</v>
      </c>
      <c r="AF17" s="184" t="s">
        <v>19</v>
      </c>
      <c r="AG17" s="185" t="s">
        <v>23</v>
      </c>
      <c r="AH17" s="186" t="s">
        <v>23</v>
      </c>
      <c r="AI17" s="1"/>
      <c r="AJ17" s="1"/>
      <c r="AK17" s="182"/>
      <c r="AL17" s="103"/>
      <c r="AM17" s="104" t="s">
        <v>92</v>
      </c>
      <c r="AN17" s="105">
        <v>45550</v>
      </c>
      <c r="AO17" s="106"/>
    </row>
    <row x14ac:dyDescent="0.25" r="18" customHeight="1" ht="18.75">
      <c r="A18" s="1"/>
      <c r="B18" s="1"/>
      <c r="C18" s="1"/>
      <c r="D18" s="117" t="s">
        <v>23</v>
      </c>
      <c r="E18" s="118">
        <f>COUNTIF(E6:E17,"D")+COUNTIF(E6:E17,"R/D")</f>
      </c>
      <c r="F18" s="118">
        <f>COUNTIF(F6:F17,"D")+COUNTIF(F6:F17,"R/D")</f>
      </c>
      <c r="G18" s="118">
        <f>COUNTIF(G6:G17,"D")+COUNTIF(G6:G17,"R/D")</f>
      </c>
      <c r="H18" s="118">
        <f>COUNTIF(H6:H17,"D")+COUNTIF(H6:H17,"R/D")</f>
      </c>
      <c r="I18" s="118">
        <f>COUNTIF(I6:I17,"D")+COUNTIF(I6:I17,"R/D")</f>
      </c>
      <c r="J18" s="118">
        <f>COUNTIF(J6:J17,"D")+COUNTIF(J6:J17,"R/D")</f>
      </c>
      <c r="K18" s="118">
        <f>COUNTIF(K6:K17,"D")+COUNTIF(K6:K17,"R/D")</f>
      </c>
      <c r="L18" s="118">
        <f>COUNTIF(L6:L17,"D")+COUNTIF(L6:L17,"R/D")</f>
      </c>
      <c r="M18" s="118">
        <f>COUNTIF(M6:M17,"D")+COUNTIF(M6:M17,"R/D")</f>
      </c>
      <c r="N18" s="118">
        <f>COUNTIF(N6:N17,"D")+COUNTIF(N6:N17,"R/D")</f>
      </c>
      <c r="O18" s="118">
        <f>COUNTIF(O6:O17,"D")+COUNTIF(O6:O17,"R/D")</f>
      </c>
      <c r="P18" s="118">
        <f>COUNTIF(P6:P17,"D")+COUNTIF(P6:P17,"R/D")</f>
      </c>
      <c r="Q18" s="118">
        <f>COUNTIF(Q6:Q17,"D")+COUNTIF(Q6:Q17,"R/D")</f>
      </c>
      <c r="R18" s="118">
        <f>COUNTIF(R6:R17,"D")+COUNTIF(R6:R17,"R/D")</f>
      </c>
      <c r="S18" s="118">
        <f>COUNTIF(S6:S17,"D")+COUNTIF(S6:S17,"R/D")</f>
      </c>
      <c r="T18" s="118">
        <f>COUNTIF(T6:T17,"D")+COUNTIF(T6:T17,"R/D")</f>
      </c>
      <c r="U18" s="118">
        <f>COUNTIF(U6:U17,"D")+COUNTIF(U6:U17,"R/D")</f>
      </c>
      <c r="V18" s="118">
        <f>COUNTIF(V6:V17,"D")+COUNTIF(V6:V17,"R/D")</f>
      </c>
      <c r="W18" s="118">
        <f>COUNTIF(W6:W17,"D")+COUNTIF(W6:W17,"R/D")</f>
      </c>
      <c r="X18" s="118">
        <f>COUNTIF(X6:X17,"D")+COUNTIF(X6:X17,"R/D")</f>
      </c>
      <c r="Y18" s="118">
        <f>COUNTIF(Y6:Y17,"D")+COUNTIF(Y6:Y17,"R/D")</f>
      </c>
      <c r="Z18" s="118">
        <f>COUNTIF(Z6:Z17,"D")+COUNTIF(Z6:Z17,"R/D")</f>
      </c>
      <c r="AA18" s="118">
        <f>COUNTIF(AA6:AA17,"D")+COUNTIF(AA6:AA17,"R/D")</f>
      </c>
      <c r="AB18" s="118">
        <f>COUNTIF(AB6:AB17,"D")+COUNTIF(AB6:AB17,"R/D")</f>
      </c>
      <c r="AC18" s="118">
        <f>COUNTIF(AC6:AC17,"D")+COUNTIF(AC6:AC17,"R/D")</f>
      </c>
      <c r="AD18" s="118">
        <f>COUNTIF(AD6:AD17,"D")+COUNTIF(AD6:AD17,"R/D")</f>
      </c>
      <c r="AE18" s="118">
        <f>COUNTIF(AE6:AE17,"D")+COUNTIF(AE6:AE17,"R/D")</f>
      </c>
      <c r="AF18" s="118">
        <f>COUNTIF(AF6:AF17,"D")+COUNTIF(AF6:AF17,"R/D")</f>
      </c>
      <c r="AG18" s="118">
        <f>COUNTIF(AG6:AG17,"D")+COUNTIF(AG6:AG17,"R/D")</f>
      </c>
      <c r="AH18" s="118">
        <f>COUNTIF(AH6:AH17,"D")+COUNTIF(AH6:AH17,"R/D")</f>
      </c>
      <c r="AI18" s="1"/>
      <c r="AJ18" s="1"/>
      <c r="AK18" s="182"/>
      <c r="AL18" s="103"/>
      <c r="AM18" s="104" t="s">
        <v>93</v>
      </c>
      <c r="AN18" s="105">
        <v>45552</v>
      </c>
      <c r="AO18" s="106"/>
    </row>
    <row x14ac:dyDescent="0.25" r="19" customHeight="1" ht="18.75">
      <c r="A19" s="1"/>
      <c r="B19" s="1"/>
      <c r="C19" s="1"/>
      <c r="D19" s="120" t="s">
        <v>21</v>
      </c>
      <c r="E19" s="121">
        <f>COUNTIF(E6:E17,"N")+COUNTIF(E6:E17,"R/N")</f>
      </c>
      <c r="F19" s="121">
        <f>COUNTIF(F6:F17,"N")+COUNTIF(F6:F17,"R/N")</f>
      </c>
      <c r="G19" s="121">
        <f>COUNTIF(G6:G17,"N")+COUNTIF(G6:G17,"R/N")</f>
      </c>
      <c r="H19" s="121">
        <f>COUNTIF(H6:H17,"N")+COUNTIF(H6:H17,"R/N")</f>
      </c>
      <c r="I19" s="121">
        <f>COUNTIF(I6:I17,"N")+COUNTIF(I6:I17,"R/N")</f>
      </c>
      <c r="J19" s="121">
        <f>COUNTIF(J6:J17,"N")+COUNTIF(J6:J17,"R/N")</f>
      </c>
      <c r="K19" s="121">
        <f>COUNTIF(K6:K17,"N")+COUNTIF(K6:K17,"R/N")</f>
      </c>
      <c r="L19" s="121">
        <f>COUNTIF(L6:L17,"N")+COUNTIF(L6:L17,"R/N")</f>
      </c>
      <c r="M19" s="121">
        <f>COUNTIF(M6:M17,"N")+COUNTIF(M6:M17,"R/N")</f>
      </c>
      <c r="N19" s="121">
        <f>COUNTIF(N6:N17,"N")+COUNTIF(N6:N17,"R/N")</f>
      </c>
      <c r="O19" s="121">
        <f>COUNTIF(O6:O17,"N")+COUNTIF(O6:O17,"R/N")</f>
      </c>
      <c r="P19" s="121">
        <f>COUNTIF(P6:P17,"N")+COUNTIF(P6:P17,"R/N")</f>
      </c>
      <c r="Q19" s="121">
        <f>COUNTIF(Q6:Q17,"N")+COUNTIF(Q6:Q17,"R/N")</f>
      </c>
      <c r="R19" s="121">
        <f>COUNTIF(R6:R17,"N")+COUNTIF(R6:R17,"R/N")</f>
      </c>
      <c r="S19" s="121">
        <f>COUNTIF(S6:S17,"N")+COUNTIF(S6:S17,"R/N")</f>
      </c>
      <c r="T19" s="121">
        <f>COUNTIF(T6:T17,"N")+COUNTIF(T6:T17,"R/N")</f>
      </c>
      <c r="U19" s="121">
        <f>COUNTIF(U6:U17,"N")+COUNTIF(U6:U17,"R/N")</f>
      </c>
      <c r="V19" s="121">
        <f>COUNTIF(V6:V17,"N")+COUNTIF(V6:V17,"R/N")</f>
      </c>
      <c r="W19" s="121">
        <f>COUNTIF(W6:W17,"N")+COUNTIF(W6:W17,"R/N")</f>
      </c>
      <c r="X19" s="121">
        <f>COUNTIF(X6:X17,"N")+COUNTIF(X6:X17,"R/N")</f>
      </c>
      <c r="Y19" s="121">
        <f>COUNTIF(Y6:Y17,"N")+COUNTIF(Y6:Y17,"R/N")</f>
      </c>
      <c r="Z19" s="121">
        <f>COUNTIF(Z6:Z17,"N")+COUNTIF(Z6:Z17,"R/N")</f>
      </c>
      <c r="AA19" s="121">
        <f>COUNTIF(AA6:AA17,"N")+COUNTIF(AA6:AA17,"R/N")</f>
      </c>
      <c r="AB19" s="121">
        <f>COUNTIF(AB6:AB17,"N")+COUNTIF(AB6:AB17,"R/N")</f>
      </c>
      <c r="AC19" s="121">
        <f>COUNTIF(AC6:AC17,"N")+COUNTIF(AC6:AC17,"R/N")</f>
      </c>
      <c r="AD19" s="121">
        <f>COUNTIF(AD6:AD17,"N")+COUNTIF(AD6:AD17,"R/N")</f>
      </c>
      <c r="AE19" s="121">
        <f>COUNTIF(AE6:AE17,"N")+COUNTIF(AE6:AE17,"R/N")</f>
      </c>
      <c r="AF19" s="121">
        <f>COUNTIF(AF6:AF17,"N")+COUNTIF(AF6:AF17,"R/N")</f>
      </c>
      <c r="AG19" s="121">
        <f>COUNTIF(AG6:AG17,"N")+COUNTIF(AG6:AG17,"R/N")</f>
      </c>
      <c r="AH19" s="121">
        <f>COUNTIF(AH6:AH17,"N")+COUNTIF(AH6:AH17,"R/N")</f>
      </c>
      <c r="AI19" s="1"/>
      <c r="AJ19" s="1"/>
      <c r="AK19" s="187"/>
      <c r="AL19" s="123"/>
      <c r="AM19" s="124"/>
      <c r="AN19" s="125"/>
      <c r="AO19" s="126"/>
    </row>
    <row x14ac:dyDescent="0.25" r="20" customHeight="1" ht="18.75">
      <c r="A20" s="1"/>
      <c r="B20" s="1"/>
      <c r="C20" s="1"/>
      <c r="D20" s="127" t="s">
        <v>19</v>
      </c>
      <c r="E20" s="121">
        <f>COUNTIF(E6:E17,"R")</f>
      </c>
      <c r="F20" s="121">
        <f>COUNTIF(F6:F17,"R")</f>
      </c>
      <c r="G20" s="121">
        <f>COUNTIF(G6:G17,"R")</f>
      </c>
      <c r="H20" s="121">
        <f>COUNTIF(H6:H17,"R")</f>
      </c>
      <c r="I20" s="121">
        <f>COUNTIF(I6:I17,"R")</f>
      </c>
      <c r="J20" s="121">
        <f>COUNTIF(J6:J17,"R")</f>
      </c>
      <c r="K20" s="121">
        <f>COUNTIF(K6:K17,"R")</f>
      </c>
      <c r="L20" s="121">
        <f>COUNTIF(L6:L17,"R")</f>
      </c>
      <c r="M20" s="121">
        <f>COUNTIF(M6:M17,"R")</f>
      </c>
      <c r="N20" s="121">
        <f>COUNTIF(N6:N17,"R")</f>
      </c>
      <c r="O20" s="121">
        <f>COUNTIF(O6:O17,"R")</f>
      </c>
      <c r="P20" s="121">
        <f>COUNTIF(P6:P17,"R")</f>
      </c>
      <c r="Q20" s="121">
        <f>COUNTIF(Q6:Q17,"R")</f>
      </c>
      <c r="R20" s="121">
        <f>COUNTIF(R6:R17,"R")</f>
      </c>
      <c r="S20" s="121">
        <f>COUNTIF(S6:S17,"R")</f>
      </c>
      <c r="T20" s="121">
        <f>COUNTIF(T6:T17,"R")</f>
      </c>
      <c r="U20" s="121">
        <f>COUNTIF(U6:U17,"R")</f>
      </c>
      <c r="V20" s="121">
        <f>COUNTIF(V6:V17,"R")</f>
      </c>
      <c r="W20" s="121">
        <f>COUNTIF(W6:W17,"R")</f>
      </c>
      <c r="X20" s="121">
        <f>COUNTIF(X6:X17,"R")</f>
      </c>
      <c r="Y20" s="121">
        <f>COUNTIF(Y6:Y17,"R")</f>
      </c>
      <c r="Z20" s="121">
        <f>COUNTIF(Z6:Z17,"R")</f>
      </c>
      <c r="AA20" s="121">
        <f>COUNTIF(AA6:AA17,"R")</f>
      </c>
      <c r="AB20" s="121">
        <f>COUNTIF(AB6:AB17,"R")</f>
      </c>
      <c r="AC20" s="121">
        <f>COUNTIF(AC6:AC17,"R")</f>
      </c>
      <c r="AD20" s="121">
        <f>COUNTIF(AD6:AD17,"R")</f>
      </c>
      <c r="AE20" s="121">
        <f>COUNTIF(AE6:AE17,"R")</f>
      </c>
      <c r="AF20" s="121">
        <f>COUNTIF(AF6:AF17,"R")</f>
      </c>
      <c r="AG20" s="121">
        <f>COUNTIF(AG6:AG17,"R")</f>
      </c>
      <c r="AH20" s="121">
        <f>COUNTIF(AH6:AH17,"R")</f>
      </c>
      <c r="AI20" s="1"/>
      <c r="AJ20" s="1"/>
      <c r="AK20" s="188" t="s">
        <v>62</v>
      </c>
      <c r="AL20" s="129" t="s">
        <v>53</v>
      </c>
      <c r="AM20" s="130"/>
      <c r="AN20" s="131"/>
      <c r="AO20" s="132"/>
    </row>
    <row x14ac:dyDescent="0.25" r="21" customHeight="1" ht="18.75">
      <c r="A21" s="1"/>
      <c r="B21" s="1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1"/>
      <c r="AJ21" s="1"/>
      <c r="AK21" s="133"/>
      <c r="AL21" s="134"/>
      <c r="AM21" s="124"/>
      <c r="AN21" s="125"/>
      <c r="AO21" s="135"/>
    </row>
    <row x14ac:dyDescent="0.25" r="22" customHeight="1" ht="18.75">
      <c r="A22" s="1"/>
      <c r="B22" s="4" t="s">
        <v>0</v>
      </c>
      <c r="C22" s="5"/>
      <c r="D22" s="189"/>
      <c r="E22" s="172" t="s">
        <v>94</v>
      </c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4"/>
      <c r="AI22" s="1"/>
      <c r="AJ22" s="1"/>
      <c r="AK22" s="1"/>
      <c r="AL22" s="1"/>
      <c r="AM22" s="1"/>
      <c r="AN22" s="3"/>
      <c r="AO22" s="1"/>
    </row>
    <row x14ac:dyDescent="0.25" r="23" customHeight="1" ht="18.75">
      <c r="A23" s="1"/>
      <c r="B23" s="11" t="s">
        <v>2</v>
      </c>
      <c r="C23" s="12"/>
      <c r="D23" s="13"/>
      <c r="E23" s="14" t="s">
        <v>9</v>
      </c>
      <c r="F23" s="15" t="s">
        <v>3</v>
      </c>
      <c r="G23" s="15" t="s">
        <v>4</v>
      </c>
      <c r="H23" s="15" t="s">
        <v>5</v>
      </c>
      <c r="I23" s="15" t="s">
        <v>6</v>
      </c>
      <c r="J23" s="15" t="s">
        <v>7</v>
      </c>
      <c r="K23" s="15" t="s">
        <v>8</v>
      </c>
      <c r="L23" s="15" t="s">
        <v>9</v>
      </c>
      <c r="M23" s="15" t="s">
        <v>3</v>
      </c>
      <c r="N23" s="15" t="s">
        <v>4</v>
      </c>
      <c r="O23" s="15" t="s">
        <v>5</v>
      </c>
      <c r="P23" s="15" t="s">
        <v>6</v>
      </c>
      <c r="Q23" s="15" t="s">
        <v>7</v>
      </c>
      <c r="R23" s="15" t="s">
        <v>8</v>
      </c>
      <c r="S23" s="15" t="s">
        <v>9</v>
      </c>
      <c r="T23" s="15" t="s">
        <v>3</v>
      </c>
      <c r="U23" s="15" t="s">
        <v>4</v>
      </c>
      <c r="V23" s="15" t="s">
        <v>5</v>
      </c>
      <c r="W23" s="15" t="s">
        <v>6</v>
      </c>
      <c r="X23" s="15" t="s">
        <v>7</v>
      </c>
      <c r="Y23" s="15" t="s">
        <v>8</v>
      </c>
      <c r="Z23" s="15" t="s">
        <v>9</v>
      </c>
      <c r="AA23" s="15" t="s">
        <v>3</v>
      </c>
      <c r="AB23" s="15" t="s">
        <v>4</v>
      </c>
      <c r="AC23" s="15" t="s">
        <v>5</v>
      </c>
      <c r="AD23" s="15" t="s">
        <v>6</v>
      </c>
      <c r="AE23" s="15" t="s">
        <v>7</v>
      </c>
      <c r="AF23" s="15" t="s">
        <v>8</v>
      </c>
      <c r="AG23" s="15" t="s">
        <v>9</v>
      </c>
      <c r="AH23" s="16" t="s">
        <v>3</v>
      </c>
      <c r="AI23" s="1"/>
      <c r="AJ23" s="1"/>
      <c r="AK23" s="1"/>
      <c r="AL23" s="1"/>
      <c r="AM23" s="1"/>
      <c r="AN23" s="3"/>
      <c r="AO23" s="1"/>
    </row>
    <row x14ac:dyDescent="0.25" r="24" customHeight="1" ht="18.75">
      <c r="A24" s="1"/>
      <c r="B24" s="136" t="s">
        <v>10</v>
      </c>
      <c r="C24" s="137" t="s">
        <v>11</v>
      </c>
      <c r="D24" s="190" t="s">
        <v>12</v>
      </c>
      <c r="E24" s="175">
        <v>45474</v>
      </c>
      <c r="F24" s="176">
        <v>45475</v>
      </c>
      <c r="G24" s="176">
        <v>45476</v>
      </c>
      <c r="H24" s="176">
        <v>45477</v>
      </c>
      <c r="I24" s="176">
        <v>45478</v>
      </c>
      <c r="J24" s="176">
        <v>45479</v>
      </c>
      <c r="K24" s="176">
        <v>45480</v>
      </c>
      <c r="L24" s="176">
        <v>45481</v>
      </c>
      <c r="M24" s="176">
        <v>45482</v>
      </c>
      <c r="N24" s="176">
        <v>45483</v>
      </c>
      <c r="O24" s="176">
        <v>45484</v>
      </c>
      <c r="P24" s="176">
        <v>45485</v>
      </c>
      <c r="Q24" s="176">
        <v>45486</v>
      </c>
      <c r="R24" s="176">
        <v>45487</v>
      </c>
      <c r="S24" s="176">
        <v>45488</v>
      </c>
      <c r="T24" s="176">
        <v>45489</v>
      </c>
      <c r="U24" s="176">
        <v>45490</v>
      </c>
      <c r="V24" s="176">
        <v>45491</v>
      </c>
      <c r="W24" s="176">
        <v>45492</v>
      </c>
      <c r="X24" s="176">
        <v>45493</v>
      </c>
      <c r="Y24" s="176">
        <v>45494</v>
      </c>
      <c r="Z24" s="176">
        <v>45495</v>
      </c>
      <c r="AA24" s="176">
        <v>45496</v>
      </c>
      <c r="AB24" s="176">
        <v>45497</v>
      </c>
      <c r="AC24" s="176">
        <v>45498</v>
      </c>
      <c r="AD24" s="176">
        <v>45499</v>
      </c>
      <c r="AE24" s="176">
        <v>45500</v>
      </c>
      <c r="AF24" s="176">
        <v>45501</v>
      </c>
      <c r="AG24" s="176">
        <v>45502</v>
      </c>
      <c r="AH24" s="177">
        <v>45503</v>
      </c>
      <c r="AI24" s="1"/>
      <c r="AJ24" s="1"/>
      <c r="AK24" s="1"/>
      <c r="AL24" s="1"/>
      <c r="AM24" s="1"/>
      <c r="AN24" s="3"/>
      <c r="AO24" s="1"/>
    </row>
    <row x14ac:dyDescent="0.25" r="25" customHeight="1" ht="18.75">
      <c r="A25" s="1"/>
      <c r="B25" s="139" t="s">
        <v>17</v>
      </c>
      <c r="C25" s="26" t="s">
        <v>64</v>
      </c>
      <c r="D25" s="38">
        <v>25751</v>
      </c>
      <c r="E25" s="81" t="s">
        <v>21</v>
      </c>
      <c r="F25" s="63" t="s">
        <v>21</v>
      </c>
      <c r="G25" s="64" t="s">
        <v>19</v>
      </c>
      <c r="H25" s="64" t="s">
        <v>19</v>
      </c>
      <c r="I25" s="64" t="s">
        <v>19</v>
      </c>
      <c r="J25" s="64" t="s">
        <v>19</v>
      </c>
      <c r="K25" s="63" t="s">
        <v>23</v>
      </c>
      <c r="L25" s="63" t="s">
        <v>23</v>
      </c>
      <c r="M25" s="63" t="s">
        <v>21</v>
      </c>
      <c r="N25" s="63" t="s">
        <v>21</v>
      </c>
      <c r="O25" s="64" t="s">
        <v>19</v>
      </c>
      <c r="P25" s="64" t="s">
        <v>19</v>
      </c>
      <c r="Q25" s="65" t="s">
        <v>37</v>
      </c>
      <c r="R25" s="64" t="s">
        <v>19</v>
      </c>
      <c r="S25" s="63" t="s">
        <v>23</v>
      </c>
      <c r="T25" s="63" t="s">
        <v>23</v>
      </c>
      <c r="U25" s="63" t="s">
        <v>21</v>
      </c>
      <c r="V25" s="63" t="s">
        <v>21</v>
      </c>
      <c r="W25" s="64" t="s">
        <v>19</v>
      </c>
      <c r="X25" s="64" t="s">
        <v>19</v>
      </c>
      <c r="Y25" s="64" t="s">
        <v>19</v>
      </c>
      <c r="Z25" s="64" t="s">
        <v>19</v>
      </c>
      <c r="AA25" s="63" t="s">
        <v>23</v>
      </c>
      <c r="AB25" s="63" t="s">
        <v>23</v>
      </c>
      <c r="AC25" s="63" t="s">
        <v>21</v>
      </c>
      <c r="AD25" s="63" t="s">
        <v>21</v>
      </c>
      <c r="AE25" s="64" t="s">
        <v>19</v>
      </c>
      <c r="AF25" s="64" t="s">
        <v>19</v>
      </c>
      <c r="AG25" s="64" t="s">
        <v>19</v>
      </c>
      <c r="AH25" s="66" t="s">
        <v>19</v>
      </c>
      <c r="AI25" s="1"/>
      <c r="AJ25" s="1"/>
      <c r="AK25" s="1"/>
      <c r="AL25" s="1"/>
      <c r="AM25" s="1"/>
      <c r="AN25" s="3"/>
      <c r="AO25" s="1"/>
    </row>
    <row x14ac:dyDescent="0.25" r="26" customHeight="1" ht="18.75">
      <c r="A26" s="1"/>
      <c r="B26" s="36"/>
      <c r="C26" s="37" t="s">
        <v>66</v>
      </c>
      <c r="D26" s="38">
        <v>39325</v>
      </c>
      <c r="E26" s="84" t="s">
        <v>21</v>
      </c>
      <c r="F26" s="40" t="s">
        <v>21</v>
      </c>
      <c r="G26" s="41" t="s">
        <v>19</v>
      </c>
      <c r="H26" s="41" t="s">
        <v>19</v>
      </c>
      <c r="I26" s="41" t="s">
        <v>19</v>
      </c>
      <c r="J26" s="41" t="s">
        <v>19</v>
      </c>
      <c r="K26" s="40" t="s">
        <v>23</v>
      </c>
      <c r="L26" s="40" t="s">
        <v>23</v>
      </c>
      <c r="M26" s="40" t="s">
        <v>21</v>
      </c>
      <c r="N26" s="40" t="s">
        <v>21</v>
      </c>
      <c r="O26" s="41" t="s">
        <v>19</v>
      </c>
      <c r="P26" s="41" t="s">
        <v>19</v>
      </c>
      <c r="Q26" s="85" t="s">
        <v>22</v>
      </c>
      <c r="R26" s="41" t="s">
        <v>19</v>
      </c>
      <c r="S26" s="42" t="s">
        <v>23</v>
      </c>
      <c r="T26" s="40" t="s">
        <v>23</v>
      </c>
      <c r="U26" s="40" t="s">
        <v>21</v>
      </c>
      <c r="V26" s="40" t="s">
        <v>21</v>
      </c>
      <c r="W26" s="41" t="s">
        <v>19</v>
      </c>
      <c r="X26" s="41" t="s">
        <v>19</v>
      </c>
      <c r="Y26" s="41" t="s">
        <v>19</v>
      </c>
      <c r="Z26" s="41" t="s">
        <v>19</v>
      </c>
      <c r="AA26" s="40" t="s">
        <v>23</v>
      </c>
      <c r="AB26" s="40" t="s">
        <v>23</v>
      </c>
      <c r="AC26" s="40" t="s">
        <v>21</v>
      </c>
      <c r="AD26" s="40" t="s">
        <v>21</v>
      </c>
      <c r="AE26" s="41" t="s">
        <v>19</v>
      </c>
      <c r="AF26" s="41" t="s">
        <v>19</v>
      </c>
      <c r="AG26" s="41" t="s">
        <v>19</v>
      </c>
      <c r="AH26" s="142" t="s">
        <v>19</v>
      </c>
      <c r="AI26" s="1"/>
      <c r="AJ26" s="1"/>
      <c r="AK26" s="1"/>
      <c r="AL26" s="1"/>
      <c r="AM26" s="1"/>
      <c r="AN26" s="3"/>
      <c r="AO26" s="1"/>
    </row>
    <row x14ac:dyDescent="0.25" r="27" customHeight="1" ht="18.75">
      <c r="A27" s="1"/>
      <c r="B27" s="36"/>
      <c r="C27" s="37" t="s">
        <v>67</v>
      </c>
      <c r="D27" s="38">
        <v>31787</v>
      </c>
      <c r="E27" s="84" t="s">
        <v>21</v>
      </c>
      <c r="F27" s="40" t="s">
        <v>21</v>
      </c>
      <c r="G27" s="41" t="s">
        <v>19</v>
      </c>
      <c r="H27" s="41" t="s">
        <v>19</v>
      </c>
      <c r="I27" s="41" t="s">
        <v>19</v>
      </c>
      <c r="J27" s="41" t="s">
        <v>19</v>
      </c>
      <c r="K27" s="40" t="s">
        <v>23</v>
      </c>
      <c r="L27" s="42" t="s">
        <v>23</v>
      </c>
      <c r="M27" s="40" t="s">
        <v>21</v>
      </c>
      <c r="N27" s="40" t="s">
        <v>21</v>
      </c>
      <c r="O27" s="41" t="s">
        <v>19</v>
      </c>
      <c r="P27" s="85" t="s">
        <v>37</v>
      </c>
      <c r="Q27" s="41" t="s">
        <v>19</v>
      </c>
      <c r="R27" s="85" t="s">
        <v>37</v>
      </c>
      <c r="S27" s="40" t="s">
        <v>23</v>
      </c>
      <c r="T27" s="40" t="s">
        <v>23</v>
      </c>
      <c r="U27" s="40" t="s">
        <v>21</v>
      </c>
      <c r="V27" s="40" t="s">
        <v>21</v>
      </c>
      <c r="W27" s="41" t="s">
        <v>19</v>
      </c>
      <c r="X27" s="41" t="s">
        <v>19</v>
      </c>
      <c r="Y27" s="41" t="s">
        <v>19</v>
      </c>
      <c r="Z27" s="41" t="s">
        <v>19</v>
      </c>
      <c r="AA27" s="40" t="s">
        <v>23</v>
      </c>
      <c r="AB27" s="40" t="s">
        <v>23</v>
      </c>
      <c r="AC27" s="40" t="s">
        <v>21</v>
      </c>
      <c r="AD27" s="40" t="s">
        <v>21</v>
      </c>
      <c r="AE27" s="41" t="s">
        <v>19</v>
      </c>
      <c r="AF27" s="41" t="s">
        <v>19</v>
      </c>
      <c r="AG27" s="41" t="s">
        <v>19</v>
      </c>
      <c r="AH27" s="147" t="s">
        <v>37</v>
      </c>
      <c r="AI27" s="1"/>
      <c r="AJ27" s="1"/>
      <c r="AK27" s="1"/>
      <c r="AL27" s="1"/>
      <c r="AM27" s="1"/>
      <c r="AN27" s="3"/>
      <c r="AO27" s="1"/>
    </row>
    <row x14ac:dyDescent="0.25" r="28" customHeight="1" ht="18.75">
      <c r="A28" s="1"/>
      <c r="B28" s="72"/>
      <c r="C28" s="49" t="s">
        <v>68</v>
      </c>
      <c r="D28" s="108">
        <v>40125</v>
      </c>
      <c r="E28" s="191" t="s">
        <v>20</v>
      </c>
      <c r="F28" s="144" t="s">
        <v>20</v>
      </c>
      <c r="G28" s="145" t="s">
        <v>24</v>
      </c>
      <c r="H28" s="145" t="s">
        <v>24</v>
      </c>
      <c r="I28" s="144" t="s">
        <v>20</v>
      </c>
      <c r="J28" s="144" t="s">
        <v>20</v>
      </c>
      <c r="K28" s="144" t="s">
        <v>20</v>
      </c>
      <c r="L28" s="144" t="s">
        <v>20</v>
      </c>
      <c r="M28" s="144" t="s">
        <v>20</v>
      </c>
      <c r="N28" s="145" t="s">
        <v>24</v>
      </c>
      <c r="O28" s="145" t="s">
        <v>24</v>
      </c>
      <c r="P28" s="144" t="s">
        <v>20</v>
      </c>
      <c r="Q28" s="144" t="s">
        <v>20</v>
      </c>
      <c r="R28" s="144" t="s">
        <v>20</v>
      </c>
      <c r="S28" s="113" t="s">
        <v>23</v>
      </c>
      <c r="T28" s="113" t="s">
        <v>23</v>
      </c>
      <c r="U28" s="113" t="s">
        <v>21</v>
      </c>
      <c r="V28" s="113" t="s">
        <v>21</v>
      </c>
      <c r="W28" s="114" t="s">
        <v>19</v>
      </c>
      <c r="X28" s="114" t="s">
        <v>19</v>
      </c>
      <c r="Y28" s="114" t="s">
        <v>19</v>
      </c>
      <c r="Z28" s="114" t="s">
        <v>19</v>
      </c>
      <c r="AA28" s="113" t="s">
        <v>23</v>
      </c>
      <c r="AB28" s="113" t="s">
        <v>23</v>
      </c>
      <c r="AC28" s="113" t="s">
        <v>21</v>
      </c>
      <c r="AD28" s="113" t="s">
        <v>21</v>
      </c>
      <c r="AE28" s="114" t="s">
        <v>19</v>
      </c>
      <c r="AF28" s="114" t="s">
        <v>19</v>
      </c>
      <c r="AG28" s="115" t="s">
        <v>37</v>
      </c>
      <c r="AH28" s="116" t="s">
        <v>19</v>
      </c>
      <c r="AI28" s="1"/>
      <c r="AJ28" s="1"/>
      <c r="AK28" s="1"/>
      <c r="AL28" s="1"/>
      <c r="AM28" s="1"/>
      <c r="AN28" s="3"/>
      <c r="AO28" s="1"/>
    </row>
    <row x14ac:dyDescent="0.25" r="29" customHeight="1" ht="18.75">
      <c r="A29" s="1"/>
      <c r="B29" s="25" t="s">
        <v>35</v>
      </c>
      <c r="C29" s="73" t="s">
        <v>69</v>
      </c>
      <c r="D29" s="38">
        <v>21189</v>
      </c>
      <c r="E29" s="96" t="s">
        <v>19</v>
      </c>
      <c r="F29" s="64" t="s">
        <v>19</v>
      </c>
      <c r="G29" s="140" t="s">
        <v>95</v>
      </c>
      <c r="H29" s="64" t="s">
        <v>19</v>
      </c>
      <c r="I29" s="63" t="s">
        <v>23</v>
      </c>
      <c r="J29" s="63" t="s">
        <v>23</v>
      </c>
      <c r="K29" s="63" t="s">
        <v>21</v>
      </c>
      <c r="L29" s="63" t="s">
        <v>21</v>
      </c>
      <c r="M29" s="64" t="s">
        <v>19</v>
      </c>
      <c r="N29" s="140" t="s">
        <v>95</v>
      </c>
      <c r="O29" s="64" t="s">
        <v>19</v>
      </c>
      <c r="P29" s="64" t="s">
        <v>19</v>
      </c>
      <c r="Q29" s="63" t="s">
        <v>23</v>
      </c>
      <c r="R29" s="63" t="s">
        <v>23</v>
      </c>
      <c r="S29" s="63" t="s">
        <v>21</v>
      </c>
      <c r="T29" s="63" t="s">
        <v>21</v>
      </c>
      <c r="U29" s="64" t="s">
        <v>19</v>
      </c>
      <c r="V29" s="64" t="s">
        <v>19</v>
      </c>
      <c r="W29" s="64" t="s">
        <v>19</v>
      </c>
      <c r="X29" s="64" t="s">
        <v>19</v>
      </c>
      <c r="Y29" s="63" t="s">
        <v>23</v>
      </c>
      <c r="Z29" s="63" t="s">
        <v>23</v>
      </c>
      <c r="AA29" s="63" t="s">
        <v>21</v>
      </c>
      <c r="AB29" s="63" t="s">
        <v>21</v>
      </c>
      <c r="AC29" s="64" t="s">
        <v>19</v>
      </c>
      <c r="AD29" s="64" t="s">
        <v>19</v>
      </c>
      <c r="AE29" s="64" t="s">
        <v>19</v>
      </c>
      <c r="AF29" s="64" t="s">
        <v>19</v>
      </c>
      <c r="AG29" s="192" t="s">
        <v>20</v>
      </c>
      <c r="AH29" s="193" t="s">
        <v>20</v>
      </c>
      <c r="AI29" s="1"/>
      <c r="AJ29" s="1"/>
      <c r="AK29" s="1"/>
      <c r="AL29" s="1"/>
      <c r="AM29" s="1"/>
      <c r="AN29" s="3"/>
      <c r="AO29" s="1"/>
    </row>
    <row x14ac:dyDescent="0.25" r="30" customHeight="1" ht="18.75">
      <c r="A30" s="1"/>
      <c r="B30" s="36"/>
      <c r="C30" s="73" t="s">
        <v>70</v>
      </c>
      <c r="D30" s="50">
        <v>37837</v>
      </c>
      <c r="E30" s="39" t="s">
        <v>19</v>
      </c>
      <c r="F30" s="41" t="s">
        <v>19</v>
      </c>
      <c r="G30" s="41" t="s">
        <v>19</v>
      </c>
      <c r="H30" s="41" t="s">
        <v>19</v>
      </c>
      <c r="I30" s="40" t="s">
        <v>23</v>
      </c>
      <c r="J30" s="40" t="s">
        <v>23</v>
      </c>
      <c r="K30" s="40" t="s">
        <v>21</v>
      </c>
      <c r="L30" s="40" t="s">
        <v>21</v>
      </c>
      <c r="M30" s="41" t="s">
        <v>19</v>
      </c>
      <c r="N30" s="85" t="s">
        <v>22</v>
      </c>
      <c r="O30" s="41" t="s">
        <v>19</v>
      </c>
      <c r="P30" s="41" t="s">
        <v>19</v>
      </c>
      <c r="Q30" s="40" t="s">
        <v>23</v>
      </c>
      <c r="R30" s="40" t="s">
        <v>23</v>
      </c>
      <c r="S30" s="40" t="s">
        <v>21</v>
      </c>
      <c r="T30" s="40" t="s">
        <v>21</v>
      </c>
      <c r="U30" s="41" t="s">
        <v>19</v>
      </c>
      <c r="V30" s="41" t="s">
        <v>19</v>
      </c>
      <c r="W30" s="41" t="s">
        <v>19</v>
      </c>
      <c r="X30" s="41" t="s">
        <v>19</v>
      </c>
      <c r="Y30" s="40" t="s">
        <v>23</v>
      </c>
      <c r="Z30" s="40" t="s">
        <v>23</v>
      </c>
      <c r="AA30" s="40" t="s">
        <v>21</v>
      </c>
      <c r="AB30" s="40" t="s">
        <v>21</v>
      </c>
      <c r="AC30" s="41" t="s">
        <v>19</v>
      </c>
      <c r="AD30" s="41" t="s">
        <v>19</v>
      </c>
      <c r="AE30" s="41" t="s">
        <v>19</v>
      </c>
      <c r="AF30" s="41" t="s">
        <v>19</v>
      </c>
      <c r="AG30" s="40" t="s">
        <v>23</v>
      </c>
      <c r="AH30" s="86" t="s">
        <v>23</v>
      </c>
      <c r="AI30" s="1"/>
      <c r="AJ30" s="1"/>
      <c r="AK30" s="1"/>
      <c r="AL30" s="1"/>
      <c r="AM30" s="1"/>
      <c r="AN30" s="3"/>
      <c r="AO30" s="1"/>
    </row>
    <row x14ac:dyDescent="0.25" r="31" customHeight="1" ht="18.75">
      <c r="A31" s="1"/>
      <c r="B31" s="36"/>
      <c r="C31" s="148" t="s">
        <v>71</v>
      </c>
      <c r="D31" s="38">
        <v>19241</v>
      </c>
      <c r="E31" s="39" t="s">
        <v>19</v>
      </c>
      <c r="F31" s="85" t="s">
        <v>22</v>
      </c>
      <c r="G31" s="41" t="s">
        <v>19</v>
      </c>
      <c r="H31" s="41" t="s">
        <v>19</v>
      </c>
      <c r="I31" s="40" t="s">
        <v>23</v>
      </c>
      <c r="J31" s="40" t="s">
        <v>23</v>
      </c>
      <c r="K31" s="40" t="s">
        <v>21</v>
      </c>
      <c r="L31" s="40" t="s">
        <v>21</v>
      </c>
      <c r="M31" s="41" t="s">
        <v>19</v>
      </c>
      <c r="N31" s="41" t="s">
        <v>19</v>
      </c>
      <c r="O31" s="41" t="s">
        <v>19</v>
      </c>
      <c r="P31" s="41" t="s">
        <v>19</v>
      </c>
      <c r="Q31" s="43" t="s">
        <v>20</v>
      </c>
      <c r="R31" s="43" t="s">
        <v>20</v>
      </c>
      <c r="S31" s="43" t="s">
        <v>20</v>
      </c>
      <c r="T31" s="43" t="s">
        <v>20</v>
      </c>
      <c r="U31" s="43" t="s">
        <v>20</v>
      </c>
      <c r="V31" s="101" t="s">
        <v>24</v>
      </c>
      <c r="W31" s="101" t="s">
        <v>24</v>
      </c>
      <c r="X31" s="43" t="s">
        <v>20</v>
      </c>
      <c r="Y31" s="40" t="s">
        <v>23</v>
      </c>
      <c r="Z31" s="40" t="s">
        <v>23</v>
      </c>
      <c r="AA31" s="40" t="s">
        <v>21</v>
      </c>
      <c r="AB31" s="40" t="s">
        <v>21</v>
      </c>
      <c r="AC31" s="41" t="s">
        <v>19</v>
      </c>
      <c r="AD31" s="41" t="s">
        <v>19</v>
      </c>
      <c r="AE31" s="41" t="s">
        <v>19</v>
      </c>
      <c r="AF31" s="41" t="s">
        <v>19</v>
      </c>
      <c r="AG31" s="40" t="s">
        <v>23</v>
      </c>
      <c r="AH31" s="86" t="s">
        <v>23</v>
      </c>
      <c r="AI31" s="1"/>
      <c r="AJ31" s="1"/>
      <c r="AK31" s="1"/>
      <c r="AL31" s="1"/>
      <c r="AM31" s="1"/>
      <c r="AN31" s="3"/>
      <c r="AO31" s="1"/>
    </row>
    <row x14ac:dyDescent="0.25" r="32" customHeight="1" ht="18.75">
      <c r="A32" s="1"/>
      <c r="B32" s="72"/>
      <c r="C32" s="149" t="s">
        <v>72</v>
      </c>
      <c r="D32" s="108">
        <v>18054</v>
      </c>
      <c r="E32" s="143" t="s">
        <v>19</v>
      </c>
      <c r="F32" s="114" t="s">
        <v>19</v>
      </c>
      <c r="G32" s="114" t="s">
        <v>19</v>
      </c>
      <c r="H32" s="114" t="s">
        <v>19</v>
      </c>
      <c r="I32" s="113" t="s">
        <v>23</v>
      </c>
      <c r="J32" s="113" t="s">
        <v>23</v>
      </c>
      <c r="K32" s="113" t="s">
        <v>21</v>
      </c>
      <c r="L32" s="113" t="s">
        <v>21</v>
      </c>
      <c r="M32" s="114" t="s">
        <v>19</v>
      </c>
      <c r="N32" s="114" t="s">
        <v>19</v>
      </c>
      <c r="O32" s="115" t="s">
        <v>37</v>
      </c>
      <c r="P32" s="114" t="s">
        <v>19</v>
      </c>
      <c r="Q32" s="113" t="s">
        <v>23</v>
      </c>
      <c r="R32" s="113" t="s">
        <v>23</v>
      </c>
      <c r="S32" s="113" t="s">
        <v>21</v>
      </c>
      <c r="T32" s="113" t="s">
        <v>21</v>
      </c>
      <c r="U32" s="114" t="s">
        <v>19</v>
      </c>
      <c r="V32" s="114" t="s">
        <v>19</v>
      </c>
      <c r="W32" s="114" t="s">
        <v>19</v>
      </c>
      <c r="X32" s="114" t="s">
        <v>19</v>
      </c>
      <c r="Y32" s="113" t="s">
        <v>23</v>
      </c>
      <c r="Z32" s="113" t="s">
        <v>23</v>
      </c>
      <c r="AA32" s="113" t="s">
        <v>21</v>
      </c>
      <c r="AB32" s="113" t="s">
        <v>21</v>
      </c>
      <c r="AC32" s="114" t="s">
        <v>19</v>
      </c>
      <c r="AD32" s="114" t="s">
        <v>19</v>
      </c>
      <c r="AE32" s="114" t="s">
        <v>19</v>
      </c>
      <c r="AF32" s="114" t="s">
        <v>19</v>
      </c>
      <c r="AG32" s="113" t="s">
        <v>23</v>
      </c>
      <c r="AH32" s="156" t="s">
        <v>23</v>
      </c>
      <c r="AI32" s="1"/>
      <c r="AJ32" s="1"/>
      <c r="AK32" s="1"/>
      <c r="AL32" s="1"/>
      <c r="AM32" s="1"/>
      <c r="AN32" s="3"/>
      <c r="AO32" s="1"/>
    </row>
    <row x14ac:dyDescent="0.25" r="33" customHeight="1" ht="18.75">
      <c r="A33" s="1"/>
      <c r="B33" s="151" t="s">
        <v>44</v>
      </c>
      <c r="C33" s="152" t="s">
        <v>73</v>
      </c>
      <c r="D33" s="38">
        <v>17978</v>
      </c>
      <c r="E33" s="157" t="s">
        <v>22</v>
      </c>
      <c r="F33" s="64" t="s">
        <v>19</v>
      </c>
      <c r="G33" s="63" t="s">
        <v>23</v>
      </c>
      <c r="H33" s="63" t="s">
        <v>23</v>
      </c>
      <c r="I33" s="63" t="s">
        <v>21</v>
      </c>
      <c r="J33" s="63" t="s">
        <v>21</v>
      </c>
      <c r="K33" s="64" t="s">
        <v>19</v>
      </c>
      <c r="L33" s="65" t="s">
        <v>37</v>
      </c>
      <c r="M33" s="64" t="s">
        <v>19</v>
      </c>
      <c r="N33" s="64" t="s">
        <v>19</v>
      </c>
      <c r="O33" s="63" t="s">
        <v>23</v>
      </c>
      <c r="P33" s="63" t="s">
        <v>23</v>
      </c>
      <c r="Q33" s="63" t="s">
        <v>21</v>
      </c>
      <c r="R33" s="63" t="s">
        <v>21</v>
      </c>
      <c r="S33" s="64" t="s">
        <v>19</v>
      </c>
      <c r="T33" s="64" t="s">
        <v>19</v>
      </c>
      <c r="U33" s="64" t="s">
        <v>19</v>
      </c>
      <c r="V33" s="64" t="s">
        <v>19</v>
      </c>
      <c r="W33" s="63" t="s">
        <v>23</v>
      </c>
      <c r="X33" s="63" t="s">
        <v>23</v>
      </c>
      <c r="Y33" s="63" t="s">
        <v>21</v>
      </c>
      <c r="Z33" s="63" t="s">
        <v>21</v>
      </c>
      <c r="AA33" s="64" t="s">
        <v>19</v>
      </c>
      <c r="AB33" s="64" t="s">
        <v>19</v>
      </c>
      <c r="AC33" s="64" t="s">
        <v>19</v>
      </c>
      <c r="AD33" s="64" t="s">
        <v>19</v>
      </c>
      <c r="AE33" s="63" t="s">
        <v>23</v>
      </c>
      <c r="AF33" s="63" t="s">
        <v>23</v>
      </c>
      <c r="AG33" s="63" t="s">
        <v>21</v>
      </c>
      <c r="AH33" s="82" t="s">
        <v>21</v>
      </c>
      <c r="AI33" s="1"/>
      <c r="AJ33" s="1"/>
      <c r="AK33" s="1"/>
      <c r="AL33" s="1"/>
      <c r="AM33" s="1"/>
      <c r="AN33" s="3"/>
      <c r="AO33" s="1"/>
    </row>
    <row x14ac:dyDescent="0.25" r="34" customHeight="1" ht="18.75">
      <c r="A34" s="1"/>
      <c r="B34" s="36"/>
      <c r="C34" s="152" t="s">
        <v>74</v>
      </c>
      <c r="D34" s="38">
        <v>18401</v>
      </c>
      <c r="E34" s="39" t="s">
        <v>19</v>
      </c>
      <c r="F34" s="41" t="s">
        <v>19</v>
      </c>
      <c r="G34" s="40" t="s">
        <v>23</v>
      </c>
      <c r="H34" s="40" t="s">
        <v>23</v>
      </c>
      <c r="I34" s="40" t="s">
        <v>21</v>
      </c>
      <c r="J34" s="40" t="s">
        <v>21</v>
      </c>
      <c r="K34" s="41" t="s">
        <v>19</v>
      </c>
      <c r="L34" s="41" t="s">
        <v>19</v>
      </c>
      <c r="M34" s="85" t="s">
        <v>22</v>
      </c>
      <c r="N34" s="41" t="s">
        <v>19</v>
      </c>
      <c r="O34" s="40" t="s">
        <v>23</v>
      </c>
      <c r="P34" s="40" t="s">
        <v>23</v>
      </c>
      <c r="Q34" s="40" t="s">
        <v>21</v>
      </c>
      <c r="R34" s="40" t="s">
        <v>21</v>
      </c>
      <c r="S34" s="41" t="s">
        <v>19</v>
      </c>
      <c r="T34" s="41" t="s">
        <v>19</v>
      </c>
      <c r="U34" s="153" t="s">
        <v>95</v>
      </c>
      <c r="V34" s="41" t="s">
        <v>19</v>
      </c>
      <c r="W34" s="40" t="s">
        <v>23</v>
      </c>
      <c r="X34" s="40" t="s">
        <v>23</v>
      </c>
      <c r="Y34" s="40" t="s">
        <v>21</v>
      </c>
      <c r="Z34" s="40" t="s">
        <v>21</v>
      </c>
      <c r="AA34" s="41" t="s">
        <v>19</v>
      </c>
      <c r="AB34" s="41" t="s">
        <v>19</v>
      </c>
      <c r="AC34" s="41" t="s">
        <v>19</v>
      </c>
      <c r="AD34" s="41" t="s">
        <v>19</v>
      </c>
      <c r="AE34" s="40" t="s">
        <v>23</v>
      </c>
      <c r="AF34" s="40" t="s">
        <v>23</v>
      </c>
      <c r="AG34" s="40" t="s">
        <v>21</v>
      </c>
      <c r="AH34" s="86" t="s">
        <v>21</v>
      </c>
      <c r="AI34" s="1"/>
      <c r="AJ34" s="1"/>
      <c r="AK34" s="1"/>
      <c r="AL34" s="1"/>
      <c r="AM34" s="1"/>
      <c r="AN34" s="3"/>
      <c r="AO34" s="1"/>
    </row>
    <row x14ac:dyDescent="0.25" r="35" customHeight="1" ht="18.75">
      <c r="A35" s="1"/>
      <c r="B35" s="36"/>
      <c r="C35" s="83" t="s">
        <v>75</v>
      </c>
      <c r="D35" s="50">
        <v>39305</v>
      </c>
      <c r="E35" s="39" t="s">
        <v>19</v>
      </c>
      <c r="F35" s="41" t="s">
        <v>19</v>
      </c>
      <c r="G35" s="40" t="s">
        <v>23</v>
      </c>
      <c r="H35" s="40" t="s">
        <v>23</v>
      </c>
      <c r="I35" s="40" t="s">
        <v>21</v>
      </c>
      <c r="J35" s="40" t="s">
        <v>21</v>
      </c>
      <c r="K35" s="41" t="s">
        <v>19</v>
      </c>
      <c r="L35" s="41" t="s">
        <v>19</v>
      </c>
      <c r="M35" s="41" t="s">
        <v>19</v>
      </c>
      <c r="N35" s="41" t="s">
        <v>19</v>
      </c>
      <c r="O35" s="40" t="s">
        <v>23</v>
      </c>
      <c r="P35" s="40" t="s">
        <v>23</v>
      </c>
      <c r="Q35" s="40" t="s">
        <v>21</v>
      </c>
      <c r="R35" s="40" t="s">
        <v>21</v>
      </c>
      <c r="S35" s="41" t="s">
        <v>19</v>
      </c>
      <c r="T35" s="85" t="s">
        <v>22</v>
      </c>
      <c r="U35" s="41" t="s">
        <v>19</v>
      </c>
      <c r="V35" s="41" t="s">
        <v>19</v>
      </c>
      <c r="W35" s="40" t="s">
        <v>23</v>
      </c>
      <c r="X35" s="40" t="s">
        <v>23</v>
      </c>
      <c r="Y35" s="40" t="s">
        <v>21</v>
      </c>
      <c r="Z35" s="40" t="s">
        <v>21</v>
      </c>
      <c r="AA35" s="41" t="s">
        <v>19</v>
      </c>
      <c r="AB35" s="41" t="s">
        <v>19</v>
      </c>
      <c r="AC35" s="41" t="s">
        <v>19</v>
      </c>
      <c r="AD35" s="41" t="s">
        <v>19</v>
      </c>
      <c r="AE35" s="40" t="s">
        <v>23</v>
      </c>
      <c r="AF35" s="40" t="s">
        <v>23</v>
      </c>
      <c r="AG35" s="40" t="s">
        <v>21</v>
      </c>
      <c r="AH35" s="86" t="s">
        <v>21</v>
      </c>
      <c r="AI35" s="1"/>
      <c r="AJ35" s="1"/>
      <c r="AK35" s="1"/>
      <c r="AL35" s="1"/>
      <c r="AM35" s="1"/>
      <c r="AN35" s="3"/>
      <c r="AO35" s="1"/>
    </row>
    <row x14ac:dyDescent="0.25" r="36" customHeight="1" ht="18.75">
      <c r="A36" s="1"/>
      <c r="B36" s="72"/>
      <c r="C36" s="87" t="s">
        <v>76</v>
      </c>
      <c r="D36" s="108">
        <v>39057</v>
      </c>
      <c r="E36" s="143" t="s">
        <v>19</v>
      </c>
      <c r="F36" s="114" t="s">
        <v>19</v>
      </c>
      <c r="G36" s="194" t="s">
        <v>23</v>
      </c>
      <c r="H36" s="113" t="s">
        <v>23</v>
      </c>
      <c r="I36" s="113" t="s">
        <v>21</v>
      </c>
      <c r="J36" s="113" t="s">
        <v>21</v>
      </c>
      <c r="K36" s="114" t="s">
        <v>19</v>
      </c>
      <c r="L36" s="114" t="s">
        <v>19</v>
      </c>
      <c r="M36" s="114" t="s">
        <v>19</v>
      </c>
      <c r="N36" s="114" t="s">
        <v>19</v>
      </c>
      <c r="O36" s="144" t="s">
        <v>20</v>
      </c>
      <c r="P36" s="144" t="s">
        <v>20</v>
      </c>
      <c r="Q36" s="144" t="s">
        <v>20</v>
      </c>
      <c r="R36" s="144" t="s">
        <v>20</v>
      </c>
      <c r="S36" s="144" t="s">
        <v>20</v>
      </c>
      <c r="T36" s="145" t="s">
        <v>24</v>
      </c>
      <c r="U36" s="145" t="s">
        <v>24</v>
      </c>
      <c r="V36" s="144" t="s">
        <v>20</v>
      </c>
      <c r="W36" s="113" t="s">
        <v>23</v>
      </c>
      <c r="X36" s="113" t="s">
        <v>23</v>
      </c>
      <c r="Y36" s="113" t="s">
        <v>21</v>
      </c>
      <c r="Z36" s="113" t="s">
        <v>21</v>
      </c>
      <c r="AA36" s="114" t="s">
        <v>19</v>
      </c>
      <c r="AB36" s="114" t="s">
        <v>19</v>
      </c>
      <c r="AC36" s="114" t="s">
        <v>19</v>
      </c>
      <c r="AD36" s="114" t="s">
        <v>19</v>
      </c>
      <c r="AE36" s="113" t="s">
        <v>23</v>
      </c>
      <c r="AF36" s="113" t="s">
        <v>23</v>
      </c>
      <c r="AG36" s="113" t="s">
        <v>21</v>
      </c>
      <c r="AH36" s="156" t="s">
        <v>21</v>
      </c>
      <c r="AI36" s="1"/>
      <c r="AJ36" s="1"/>
      <c r="AK36" s="1"/>
      <c r="AL36" s="1"/>
      <c r="AM36" s="1"/>
      <c r="AN36" s="3"/>
      <c r="AO36" s="1"/>
    </row>
    <row x14ac:dyDescent="0.25" r="37" customHeight="1" ht="18.75">
      <c r="A37" s="1"/>
      <c r="B37" s="25" t="s">
        <v>23</v>
      </c>
      <c r="C37" s="95" t="s">
        <v>80</v>
      </c>
      <c r="D37" s="27">
        <v>35082</v>
      </c>
      <c r="E37" s="81" t="s">
        <v>23</v>
      </c>
      <c r="F37" s="63" t="s">
        <v>23</v>
      </c>
      <c r="G37" s="63" t="s">
        <v>21</v>
      </c>
      <c r="H37" s="63" t="s">
        <v>21</v>
      </c>
      <c r="I37" s="64" t="s">
        <v>19</v>
      </c>
      <c r="J37" s="64" t="s">
        <v>19</v>
      </c>
      <c r="K37" s="64" t="s">
        <v>19</v>
      </c>
      <c r="L37" s="140" t="s">
        <v>95</v>
      </c>
      <c r="M37" s="63" t="s">
        <v>23</v>
      </c>
      <c r="N37" s="63" t="s">
        <v>23</v>
      </c>
      <c r="O37" s="63" t="s">
        <v>21</v>
      </c>
      <c r="P37" s="63" t="s">
        <v>21</v>
      </c>
      <c r="Q37" s="64" t="s">
        <v>19</v>
      </c>
      <c r="R37" s="65" t="s">
        <v>22</v>
      </c>
      <c r="S37" s="64" t="s">
        <v>19</v>
      </c>
      <c r="T37" s="64" t="s">
        <v>19</v>
      </c>
      <c r="U37" s="63" t="s">
        <v>23</v>
      </c>
      <c r="V37" s="63" t="s">
        <v>23</v>
      </c>
      <c r="W37" s="63" t="s">
        <v>21</v>
      </c>
      <c r="X37" s="63" t="s">
        <v>21</v>
      </c>
      <c r="Y37" s="64" t="s">
        <v>19</v>
      </c>
      <c r="Z37" s="64" t="s">
        <v>19</v>
      </c>
      <c r="AA37" s="64" t="s">
        <v>19</v>
      </c>
      <c r="AB37" s="64" t="s">
        <v>19</v>
      </c>
      <c r="AC37" s="63" t="s">
        <v>23</v>
      </c>
      <c r="AD37" s="63" t="s">
        <v>23</v>
      </c>
      <c r="AE37" s="63" t="s">
        <v>21</v>
      </c>
      <c r="AF37" s="63" t="s">
        <v>21</v>
      </c>
      <c r="AG37" s="64" t="s">
        <v>19</v>
      </c>
      <c r="AH37" s="66" t="s">
        <v>19</v>
      </c>
      <c r="AI37" s="1"/>
      <c r="AJ37" s="1"/>
      <c r="AK37" s="1"/>
      <c r="AL37" s="1"/>
      <c r="AM37" s="1"/>
      <c r="AN37" s="3"/>
      <c r="AO37" s="1"/>
    </row>
    <row x14ac:dyDescent="0.25" r="38" customHeight="1" ht="18.75">
      <c r="A38" s="1"/>
      <c r="B38" s="36"/>
      <c r="C38" s="99" t="s">
        <v>81</v>
      </c>
      <c r="D38" s="50">
        <v>36155</v>
      </c>
      <c r="E38" s="84" t="s">
        <v>23</v>
      </c>
      <c r="F38" s="40" t="s">
        <v>23</v>
      </c>
      <c r="G38" s="40" t="s">
        <v>21</v>
      </c>
      <c r="H38" s="40" t="s">
        <v>21</v>
      </c>
      <c r="I38" s="41" t="s">
        <v>19</v>
      </c>
      <c r="J38" s="41" t="s">
        <v>19</v>
      </c>
      <c r="K38" s="41" t="s">
        <v>19</v>
      </c>
      <c r="L38" s="41" t="s">
        <v>19</v>
      </c>
      <c r="M38" s="40" t="s">
        <v>23</v>
      </c>
      <c r="N38" s="42" t="s">
        <v>23</v>
      </c>
      <c r="O38" s="40" t="s">
        <v>21</v>
      </c>
      <c r="P38" s="40" t="s">
        <v>21</v>
      </c>
      <c r="Q38" s="41" t="s">
        <v>19</v>
      </c>
      <c r="R38" s="41" t="s">
        <v>19</v>
      </c>
      <c r="S38" s="85" t="s">
        <v>22</v>
      </c>
      <c r="T38" s="41" t="s">
        <v>19</v>
      </c>
      <c r="U38" s="40" t="s">
        <v>23</v>
      </c>
      <c r="V38" s="40" t="s">
        <v>23</v>
      </c>
      <c r="W38" s="40" t="s">
        <v>21</v>
      </c>
      <c r="X38" s="40" t="s">
        <v>21</v>
      </c>
      <c r="Y38" s="41" t="s">
        <v>19</v>
      </c>
      <c r="Z38" s="41" t="s">
        <v>19</v>
      </c>
      <c r="AA38" s="41" t="s">
        <v>19</v>
      </c>
      <c r="AB38" s="41" t="s">
        <v>19</v>
      </c>
      <c r="AC38" s="40" t="s">
        <v>23</v>
      </c>
      <c r="AD38" s="40" t="s">
        <v>23</v>
      </c>
      <c r="AE38" s="40" t="s">
        <v>21</v>
      </c>
      <c r="AF38" s="40" t="s">
        <v>21</v>
      </c>
      <c r="AG38" s="41" t="s">
        <v>19</v>
      </c>
      <c r="AH38" s="142" t="s">
        <v>19</v>
      </c>
      <c r="AI38" s="1"/>
      <c r="AJ38" s="1"/>
      <c r="AK38" s="1"/>
      <c r="AL38" s="1"/>
      <c r="AM38" s="1"/>
      <c r="AN38" s="3"/>
      <c r="AO38" s="1"/>
    </row>
    <row x14ac:dyDescent="0.25" r="39" customHeight="1" ht="18.75">
      <c r="A39" s="1"/>
      <c r="B39" s="36"/>
      <c r="C39" s="99" t="s">
        <v>82</v>
      </c>
      <c r="D39" s="100">
        <v>39035</v>
      </c>
      <c r="E39" s="84" t="s">
        <v>23</v>
      </c>
      <c r="F39" s="40" t="s">
        <v>23</v>
      </c>
      <c r="G39" s="40" t="s">
        <v>21</v>
      </c>
      <c r="H39" s="40" t="s">
        <v>21</v>
      </c>
      <c r="I39" s="41" t="s">
        <v>19</v>
      </c>
      <c r="J39" s="41" t="s">
        <v>19</v>
      </c>
      <c r="K39" s="41" t="s">
        <v>19</v>
      </c>
      <c r="L39" s="41" t="s">
        <v>19</v>
      </c>
      <c r="M39" s="40" t="s">
        <v>23</v>
      </c>
      <c r="N39" s="40" t="s">
        <v>23</v>
      </c>
      <c r="O39" s="40" t="s">
        <v>21</v>
      </c>
      <c r="P39" s="40" t="s">
        <v>21</v>
      </c>
      <c r="Q39" s="41" t="s">
        <v>19</v>
      </c>
      <c r="R39" s="41" t="s">
        <v>19</v>
      </c>
      <c r="S39" s="41" t="s">
        <v>19</v>
      </c>
      <c r="T39" s="41" t="s">
        <v>19</v>
      </c>
      <c r="U39" s="40" t="s">
        <v>23</v>
      </c>
      <c r="V39" s="40" t="s">
        <v>23</v>
      </c>
      <c r="W39" s="40" t="s">
        <v>21</v>
      </c>
      <c r="X39" s="40" t="s">
        <v>21</v>
      </c>
      <c r="Y39" s="41" t="s">
        <v>19</v>
      </c>
      <c r="Z39" s="41" t="s">
        <v>19</v>
      </c>
      <c r="AA39" s="41" t="s">
        <v>19</v>
      </c>
      <c r="AB39" s="41" t="s">
        <v>19</v>
      </c>
      <c r="AC39" s="40" t="s">
        <v>23</v>
      </c>
      <c r="AD39" s="40" t="s">
        <v>23</v>
      </c>
      <c r="AE39" s="40" t="s">
        <v>21</v>
      </c>
      <c r="AF39" s="40" t="s">
        <v>21</v>
      </c>
      <c r="AG39" s="41" t="s">
        <v>19</v>
      </c>
      <c r="AH39" s="142" t="s">
        <v>19</v>
      </c>
      <c r="AI39" s="1"/>
      <c r="AJ39" s="1"/>
      <c r="AK39" s="1"/>
      <c r="AL39" s="1"/>
      <c r="AM39" s="1"/>
      <c r="AN39" s="3"/>
      <c r="AO39" s="1"/>
    </row>
    <row x14ac:dyDescent="0.25" r="40" customHeight="1" ht="18.75">
      <c r="A40" s="1"/>
      <c r="B40" s="72"/>
      <c r="C40" s="107" t="s">
        <v>83</v>
      </c>
      <c r="D40" s="108">
        <v>39021</v>
      </c>
      <c r="E40" s="112" t="s">
        <v>23</v>
      </c>
      <c r="F40" s="113" t="s">
        <v>23</v>
      </c>
      <c r="G40" s="113" t="s">
        <v>21</v>
      </c>
      <c r="H40" s="113" t="s">
        <v>21</v>
      </c>
      <c r="I40" s="114" t="s">
        <v>19</v>
      </c>
      <c r="J40" s="114" t="s">
        <v>19</v>
      </c>
      <c r="K40" s="115" t="s">
        <v>37</v>
      </c>
      <c r="L40" s="114" t="s">
        <v>19</v>
      </c>
      <c r="M40" s="113" t="s">
        <v>23</v>
      </c>
      <c r="N40" s="113" t="s">
        <v>23</v>
      </c>
      <c r="O40" s="113" t="s">
        <v>21</v>
      </c>
      <c r="P40" s="113" t="s">
        <v>21</v>
      </c>
      <c r="Q40" s="114" t="s">
        <v>19</v>
      </c>
      <c r="R40" s="114" t="s">
        <v>19</v>
      </c>
      <c r="S40" s="150" t="s">
        <v>95</v>
      </c>
      <c r="T40" s="114" t="s">
        <v>19</v>
      </c>
      <c r="U40" s="194" t="s">
        <v>23</v>
      </c>
      <c r="V40" s="113" t="s">
        <v>23</v>
      </c>
      <c r="W40" s="113" t="s">
        <v>21</v>
      </c>
      <c r="X40" s="113" t="s">
        <v>21</v>
      </c>
      <c r="Y40" s="114" t="s">
        <v>19</v>
      </c>
      <c r="Z40" s="114" t="s">
        <v>19</v>
      </c>
      <c r="AA40" s="114" t="s">
        <v>19</v>
      </c>
      <c r="AB40" s="114" t="s">
        <v>19</v>
      </c>
      <c r="AC40" s="113" t="s">
        <v>23</v>
      </c>
      <c r="AD40" s="113" t="s">
        <v>23</v>
      </c>
      <c r="AE40" s="113" t="s">
        <v>21</v>
      </c>
      <c r="AF40" s="113" t="s">
        <v>21</v>
      </c>
      <c r="AG40" s="114" t="s">
        <v>19</v>
      </c>
      <c r="AH40" s="116" t="s">
        <v>19</v>
      </c>
      <c r="AI40" s="1"/>
      <c r="AJ40" s="1"/>
      <c r="AK40" s="1"/>
      <c r="AL40" s="1"/>
      <c r="AM40" s="1"/>
      <c r="AN40" s="3"/>
      <c r="AO40" s="1"/>
    </row>
    <row x14ac:dyDescent="0.25" r="41" customHeight="1" ht="18.75">
      <c r="A41" s="1"/>
      <c r="B41" s="1"/>
      <c r="C41" s="1"/>
      <c r="D41" s="117" t="s">
        <v>23</v>
      </c>
      <c r="E41" s="118">
        <f>COUNTIF(E25:E40,"D")+COUNTIF(E25:E40,"R/D")</f>
      </c>
      <c r="F41" s="118">
        <f>COUNTIF(F25:F40,"D")+COUNTIF(F25:F40,"R/D")</f>
      </c>
      <c r="G41" s="118">
        <f>COUNTIF(G25:G40,"D")+COUNTIF(G25:G40,"R/D")</f>
      </c>
      <c r="H41" s="118">
        <f>COUNTIF(H25:H40,"D")+COUNTIF(H25:H40,"R/D")</f>
      </c>
      <c r="I41" s="118">
        <f>COUNTIF(I25:I40,"D")+COUNTIF(I25:I40,"R/D")</f>
      </c>
      <c r="J41" s="118">
        <f>COUNTIF(J25:J40,"D")+COUNTIF(J25:J40,"R/D")</f>
      </c>
      <c r="K41" s="118">
        <f>COUNTIF(K25:K40,"D")+COUNTIF(K25:K40,"R/D")</f>
      </c>
      <c r="L41" s="118">
        <f>COUNTIF(L25:L40,"D")+COUNTIF(L25:L40,"R/D")</f>
      </c>
      <c r="M41" s="118">
        <f>COUNTIF(M25:M40,"D")+COUNTIF(M25:M40,"R/D")</f>
      </c>
      <c r="N41" s="118">
        <f>COUNTIF(N25:N40,"D")+COUNTIF(N25:N40,"R/D")</f>
      </c>
      <c r="O41" s="118">
        <f>COUNTIF(O25:O40,"D")+COUNTIF(O25:O40,"R/D")</f>
      </c>
      <c r="P41" s="118">
        <f>COUNTIF(P25:P40,"D")+COUNTIF(P25:P40,"R/D")</f>
      </c>
      <c r="Q41" s="118">
        <f>COUNTIF(Q25:Q40,"D")+COUNTIF(Q25:Q40,"R/D")</f>
      </c>
      <c r="R41" s="118">
        <f>COUNTIF(R25:R40,"D")+COUNTIF(R25:R40,"R/D")</f>
      </c>
      <c r="S41" s="118">
        <f>COUNTIF(S25:S40,"D")+COUNTIF(S25:S40,"R/D")</f>
      </c>
      <c r="T41" s="118">
        <f>COUNTIF(T25:T40,"D")+COUNTIF(T25:T40,"R/D")</f>
      </c>
      <c r="U41" s="118">
        <f>COUNTIF(U25:U40,"D")+COUNTIF(U25:U40,"R/D")</f>
      </c>
      <c r="V41" s="118">
        <f>COUNTIF(V25:V40,"D")+COUNTIF(V25:V40,"R/D")</f>
      </c>
      <c r="W41" s="118">
        <f>COUNTIF(W25:W40,"D")+COUNTIF(W25:W40,"R/D")</f>
      </c>
      <c r="X41" s="118">
        <f>COUNTIF(X25:X40,"D")+COUNTIF(X25:X40,"R/D")</f>
      </c>
      <c r="Y41" s="118">
        <f>COUNTIF(Y25:Y40,"D")+COUNTIF(Y25:Y40,"R/D")</f>
      </c>
      <c r="Z41" s="118">
        <f>COUNTIF(Z25:Z40,"D")+COUNTIF(Z25:Z40,"R/D")</f>
      </c>
      <c r="AA41" s="118">
        <f>COUNTIF(AA25:AA40,"D")+COUNTIF(AA25:AA40,"R/D")</f>
      </c>
      <c r="AB41" s="118">
        <f>COUNTIF(AB25:AB40,"D")+COUNTIF(AB25:AB40,"R/D")</f>
      </c>
      <c r="AC41" s="118">
        <f>COUNTIF(AC25:AC40,"D")+COUNTIF(AC25:AC40,"R/D")</f>
      </c>
      <c r="AD41" s="118">
        <f>COUNTIF(AD25:AD40,"D")+COUNTIF(AD25:AD40,"R/D")</f>
      </c>
      <c r="AE41" s="118">
        <f>COUNTIF(AE25:AE40,"D")+COUNTIF(AE25:AE40,"R/D")</f>
      </c>
      <c r="AF41" s="118">
        <f>COUNTIF(AF25:AF40,"D")+COUNTIF(AF25:AF40,"R/D")</f>
      </c>
      <c r="AG41" s="118">
        <f>COUNTIF(AG25:AG40,"D")+COUNTIF(AG25:AG40,"R/D")</f>
      </c>
      <c r="AH41" s="118">
        <f>COUNTIF(AH25:AH40,"D")+COUNTIF(AH25:AH40,"R/D")</f>
      </c>
      <c r="AI41" s="1"/>
      <c r="AJ41" s="1"/>
      <c r="AK41" s="1"/>
      <c r="AL41" s="1"/>
      <c r="AM41" s="1"/>
      <c r="AN41" s="3"/>
      <c r="AO41" s="1"/>
    </row>
    <row x14ac:dyDescent="0.25" r="42" customHeight="1" ht="18.75">
      <c r="A42" s="1"/>
      <c r="B42" s="1"/>
      <c r="C42" s="1"/>
      <c r="D42" s="120" t="s">
        <v>21</v>
      </c>
      <c r="E42" s="121">
        <f>COUNTIF(E25:E40,"N")+COUNTIF(E25:E40,"R/N")</f>
      </c>
      <c r="F42" s="121">
        <f>COUNTIF(F25:F40,"N")+COUNTIF(F25:F40,"R/N")</f>
      </c>
      <c r="G42" s="121">
        <f>COUNTIF(G25:G40,"N")+COUNTIF(G25:G40,"R/N")</f>
      </c>
      <c r="H42" s="121">
        <f>COUNTIF(H25:H40,"N")+COUNTIF(H25:H40,"R/N")</f>
      </c>
      <c r="I42" s="121">
        <f>COUNTIF(I25:I40,"N")+COUNTIF(I25:I40,"R/N")</f>
      </c>
      <c r="J42" s="121">
        <f>COUNTIF(J25:J40,"N")+COUNTIF(J25:J40,"R/N")</f>
      </c>
      <c r="K42" s="121">
        <f>COUNTIF(K25:K40,"N")+COUNTIF(K25:K40,"R/N")</f>
      </c>
      <c r="L42" s="121">
        <f>COUNTIF(L25:L40,"N")+COUNTIF(L25:L40,"R/N")</f>
      </c>
      <c r="M42" s="121">
        <f>COUNTIF(M25:M40,"N")+COUNTIF(M25:M40,"R/N")</f>
      </c>
      <c r="N42" s="121">
        <f>COUNTIF(N25:N40,"N")+COUNTIF(N25:N40,"R/N")</f>
      </c>
      <c r="O42" s="121">
        <f>COUNTIF(O25:O40,"N")+COUNTIF(O25:O40,"R/N")</f>
      </c>
      <c r="P42" s="121">
        <f>COUNTIF(P25:P40,"N")+COUNTIF(P25:P40,"R/N")</f>
      </c>
      <c r="Q42" s="121">
        <f>COUNTIF(Q25:Q40,"N")+COUNTIF(Q25:Q40,"R/N")</f>
      </c>
      <c r="R42" s="121">
        <f>COUNTIF(R25:R40,"N")+COUNTIF(R25:R40,"R/N")</f>
      </c>
      <c r="S42" s="121">
        <f>COUNTIF(S25:S40,"N")+COUNTIF(S25:S40,"R/N")</f>
      </c>
      <c r="T42" s="121">
        <f>COUNTIF(T25:T40,"N")+COUNTIF(T25:T40,"R/N")</f>
      </c>
      <c r="U42" s="121">
        <f>COUNTIF(U25:U40,"N")+COUNTIF(U25:U40,"R/N")</f>
      </c>
      <c r="V42" s="121">
        <f>COUNTIF(V25:V40,"N")+COUNTIF(V25:V40,"R/N")</f>
      </c>
      <c r="W42" s="121">
        <f>COUNTIF(W25:W40,"N")+COUNTIF(W25:W40,"R/N")</f>
      </c>
      <c r="X42" s="121">
        <f>COUNTIF(X25:X40,"N")+COUNTIF(X25:X40,"R/N")</f>
      </c>
      <c r="Y42" s="121">
        <f>COUNTIF(Y25:Y40,"N")+COUNTIF(Y25:Y40,"R/N")</f>
      </c>
      <c r="Z42" s="121">
        <f>COUNTIF(Z25:Z40,"N")+COUNTIF(Z25:Z40,"R/N")</f>
      </c>
      <c r="AA42" s="121">
        <f>COUNTIF(AA25:AA40,"N")+COUNTIF(AA25:AA40,"R/N")</f>
      </c>
      <c r="AB42" s="121">
        <f>COUNTIF(AB25:AB40,"N")+COUNTIF(AB25:AB40,"R/N")</f>
      </c>
      <c r="AC42" s="121">
        <f>COUNTIF(AC25:AC40,"N")+COUNTIF(AC25:AC40,"R/N")</f>
      </c>
      <c r="AD42" s="121">
        <f>COUNTIF(AD25:AD40,"N")+COUNTIF(AD25:AD40,"R/N")</f>
      </c>
      <c r="AE42" s="121">
        <f>COUNTIF(AE25:AE40,"N")+COUNTIF(AE25:AE40,"R/N")</f>
      </c>
      <c r="AF42" s="121">
        <f>COUNTIF(AF25:AF40,"N")+COUNTIF(AF25:AF40,"R/N")</f>
      </c>
      <c r="AG42" s="121">
        <f>COUNTIF(AG25:AG40,"N")+COUNTIF(AG25:AG40,"R/N")</f>
      </c>
      <c r="AH42" s="121">
        <f>COUNTIF(AH25:AH40,"N")+COUNTIF(AH25:AH40,"R/N")</f>
      </c>
      <c r="AI42" s="1"/>
      <c r="AJ42" s="1"/>
      <c r="AK42" s="1"/>
      <c r="AL42" s="1"/>
      <c r="AM42" s="1"/>
      <c r="AN42" s="3"/>
      <c r="AO42" s="1"/>
    </row>
    <row x14ac:dyDescent="0.25" r="43" customHeight="1" ht="18.75">
      <c r="A43" s="1"/>
      <c r="B43" s="1"/>
      <c r="C43" s="1"/>
      <c r="D43" s="127" t="s">
        <v>19</v>
      </c>
      <c r="E43" s="121">
        <f>COUNTIF(E25:E40,"R")</f>
      </c>
      <c r="F43" s="121">
        <f>COUNTIF(F25:F40,"R")</f>
      </c>
      <c r="G43" s="121">
        <f>COUNTIF(G25:G40,"R")</f>
      </c>
      <c r="H43" s="121">
        <f>COUNTIF(H25:H40,"R")</f>
      </c>
      <c r="I43" s="121">
        <f>COUNTIF(I25:I40,"R")</f>
      </c>
      <c r="J43" s="121">
        <f>COUNTIF(J25:J40,"R")</f>
      </c>
      <c r="K43" s="121">
        <f>COUNTIF(K25:K40,"R")</f>
      </c>
      <c r="L43" s="121">
        <f>COUNTIF(L25:L40,"R")</f>
      </c>
      <c r="M43" s="121">
        <f>COUNTIF(M25:M40,"R")</f>
      </c>
      <c r="N43" s="121">
        <f>COUNTIF(N25:N40,"R")</f>
      </c>
      <c r="O43" s="121">
        <f>COUNTIF(O25:O40,"R")</f>
      </c>
      <c r="P43" s="121">
        <f>COUNTIF(P25:P40,"R")</f>
      </c>
      <c r="Q43" s="121">
        <f>COUNTIF(Q25:Q40,"R")</f>
      </c>
      <c r="R43" s="121">
        <f>COUNTIF(R25:R40,"R")</f>
      </c>
      <c r="S43" s="121">
        <f>COUNTIF(S25:S40,"R")</f>
      </c>
      <c r="T43" s="121">
        <f>COUNTIF(T25:T40,"R")</f>
      </c>
      <c r="U43" s="121">
        <f>COUNTIF(U25:U40,"R")</f>
      </c>
      <c r="V43" s="121">
        <f>COUNTIF(V25:V40,"R")</f>
      </c>
      <c r="W43" s="121">
        <f>COUNTIF(W25:W40,"R")</f>
      </c>
      <c r="X43" s="121">
        <f>COUNTIF(X25:X40,"R")</f>
      </c>
      <c r="Y43" s="121">
        <f>COUNTIF(Y25:Y40,"R")</f>
      </c>
      <c r="Z43" s="121">
        <f>COUNTIF(Z25:Z40,"R")</f>
      </c>
      <c r="AA43" s="121">
        <f>COUNTIF(AA25:AA40,"R")</f>
      </c>
      <c r="AB43" s="121">
        <f>COUNTIF(AB25:AB40,"R")</f>
      </c>
      <c r="AC43" s="121">
        <f>COUNTIF(AC25:AC40,"R")</f>
      </c>
      <c r="AD43" s="121">
        <f>COUNTIF(AD25:AD40,"R")</f>
      </c>
      <c r="AE43" s="121">
        <f>COUNTIF(AE25:AE40,"R")</f>
      </c>
      <c r="AF43" s="121">
        <f>COUNTIF(AF25:AF40,"R")</f>
      </c>
      <c r="AG43" s="121">
        <f>COUNTIF(AG25:AG40,"R")</f>
      </c>
      <c r="AH43" s="121">
        <f>COUNTIF(AH25:AH40,"R")</f>
      </c>
      <c r="AI43" s="1"/>
      <c r="AJ43" s="1"/>
      <c r="AK43" s="1"/>
      <c r="AL43" s="1"/>
      <c r="AM43" s="1"/>
      <c r="AN43" s="3"/>
      <c r="AO43" s="1"/>
    </row>
  </sheetData>
  <mergeCells count="24">
    <mergeCell ref="B3:D3"/>
    <mergeCell ref="E3:AH3"/>
    <mergeCell ref="B4:D4"/>
    <mergeCell ref="B6:B8"/>
    <mergeCell ref="AK7:AO7"/>
    <mergeCell ref="B9:B10"/>
    <mergeCell ref="AK9:AK13"/>
    <mergeCell ref="AL9:AL13"/>
    <mergeCell ref="AO9:AO13"/>
    <mergeCell ref="B11:B13"/>
    <mergeCell ref="B14:B16"/>
    <mergeCell ref="AK14:AK19"/>
    <mergeCell ref="AL14:AL19"/>
    <mergeCell ref="AO14:AO19"/>
    <mergeCell ref="AK20:AK21"/>
    <mergeCell ref="AL20:AL21"/>
    <mergeCell ref="AO20:AO21"/>
    <mergeCell ref="B22:D22"/>
    <mergeCell ref="E22:AH22"/>
    <mergeCell ref="B23:D23"/>
    <mergeCell ref="B25:B28"/>
    <mergeCell ref="B29:B32"/>
    <mergeCell ref="B33:B36"/>
    <mergeCell ref="B37:B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13"/>
  <sheetViews>
    <sheetView workbookViewId="0" tabSelected="1"/>
  </sheetViews>
  <sheetFormatPr defaultRowHeight="15" x14ac:dyDescent="0.25"/>
  <cols>
    <col min="1" max="1" style="159" width="7.005" customWidth="1" bestFit="1"/>
    <col min="2" max="2" style="159" width="10.005" customWidth="1" bestFit="1"/>
    <col min="3" max="3" style="159" width="10.005" customWidth="1" bestFit="1"/>
    <col min="4" max="4" style="159" width="9.147857142857141" customWidth="1" bestFit="1"/>
    <col min="5" max="5" style="159" width="9.147857142857141" customWidth="1" bestFit="1"/>
    <col min="6" max="6" style="159" width="9.147857142857141" customWidth="1" bestFit="1"/>
    <col min="7" max="7" style="159" width="9.147857142857141" customWidth="1" bestFit="1"/>
    <col min="8" max="8" style="159" width="9.147857142857141" customWidth="1" bestFit="1"/>
    <col min="9" max="9" style="159" width="9.147857142857141" customWidth="1" bestFit="1"/>
    <col min="10" max="10" style="159" width="9.147857142857141" customWidth="1" bestFit="1"/>
    <col min="11" max="11" style="159" width="8.719285714285713" customWidth="1" bestFit="1"/>
    <col min="12" max="12" style="159" width="8.290714285714287" customWidth="1" bestFit="1"/>
    <col min="13" max="13" style="159" width="8.719285714285713" customWidth="1" bestFit="1"/>
    <col min="14" max="14" style="159" width="8.719285714285713" customWidth="1" bestFit="1"/>
    <col min="15" max="15" style="159" width="8.719285714285713" customWidth="1" bestFit="1"/>
    <col min="16" max="16" style="159" width="8.719285714285713" customWidth="1" bestFit="1"/>
    <col min="17" max="17" style="159" width="8.719285714285713" customWidth="1" bestFit="1"/>
    <col min="18" max="18" style="159" width="8.719285714285713" customWidth="1" bestFit="1"/>
    <col min="19" max="19" style="159" width="8.719285714285713" customWidth="1" bestFit="1"/>
    <col min="20" max="20" style="159" width="8.719285714285713" customWidth="1" bestFit="1"/>
    <col min="21" max="21" style="159" width="9.147857142857141" customWidth="1" bestFit="1"/>
    <col min="22" max="22" style="159" width="8.719285714285713" customWidth="1" bestFit="1"/>
    <col min="23" max="23" style="159" width="9.147857142857141" customWidth="1" bestFit="1"/>
    <col min="24" max="24" style="159" width="9.147857142857141" customWidth="1" bestFit="1"/>
    <col min="25" max="25" style="159" width="9.147857142857141" customWidth="1" bestFit="1"/>
    <col min="26" max="26" style="159" width="9.147857142857141" customWidth="1" bestFit="1"/>
    <col min="27" max="27" style="159" width="9.147857142857141" customWidth="1" bestFit="1"/>
    <col min="28" max="28" style="159" width="9.147857142857141" customWidth="1" bestFit="1"/>
    <col min="29" max="29" style="159" width="9.147857142857141" customWidth="1" bestFit="1"/>
    <col min="30" max="30" style="159" width="9.147857142857141" customWidth="1" bestFit="1"/>
    <col min="31" max="31" style="159" width="9.147857142857141" customWidth="1" bestFit="1"/>
    <col min="32" max="32" style="159" width="8.005" customWidth="1" bestFit="1"/>
  </cols>
  <sheetData>
    <row x14ac:dyDescent="0.25" r="1" customHeight="1" ht="20.25">
      <c r="A1" s="161" t="s">
        <v>12</v>
      </c>
      <c r="B1" s="162">
        <v>1</v>
      </c>
      <c r="C1" s="163">
        <v>2</v>
      </c>
      <c r="D1" s="163">
        <v>3</v>
      </c>
      <c r="E1" s="163">
        <v>4</v>
      </c>
      <c r="F1" s="163">
        <v>5</v>
      </c>
      <c r="G1" s="163">
        <v>6</v>
      </c>
      <c r="H1" s="163">
        <v>7</v>
      </c>
      <c r="I1" s="163">
        <v>8</v>
      </c>
      <c r="J1" s="163">
        <v>9</v>
      </c>
      <c r="K1" s="163">
        <v>10</v>
      </c>
      <c r="L1" s="163">
        <v>11</v>
      </c>
      <c r="M1" s="163">
        <v>12</v>
      </c>
      <c r="N1" s="163">
        <v>13</v>
      </c>
      <c r="O1" s="163">
        <v>14</v>
      </c>
      <c r="P1" s="163">
        <v>15</v>
      </c>
      <c r="Q1" s="163">
        <v>16</v>
      </c>
      <c r="R1" s="163">
        <v>17</v>
      </c>
      <c r="S1" s="163">
        <v>18</v>
      </c>
      <c r="T1" s="163">
        <v>19</v>
      </c>
      <c r="U1" s="163">
        <v>20</v>
      </c>
      <c r="V1" s="163">
        <v>21</v>
      </c>
      <c r="W1" s="163">
        <v>22</v>
      </c>
      <c r="X1" s="163">
        <v>23</v>
      </c>
      <c r="Y1" s="163">
        <v>24</v>
      </c>
      <c r="Z1" s="163">
        <v>25</v>
      </c>
      <c r="AA1" s="163">
        <v>26</v>
      </c>
      <c r="AB1" s="163">
        <v>27</v>
      </c>
      <c r="AC1" s="163">
        <v>28</v>
      </c>
      <c r="AD1" s="163">
        <v>29</v>
      </c>
      <c r="AE1" s="163">
        <v>30</v>
      </c>
      <c r="AF1" s="164">
        <v>31</v>
      </c>
    </row>
    <row x14ac:dyDescent="0.25" r="2" customHeight="1" ht="19.5">
      <c r="A2" s="165">
        <v>19371</v>
      </c>
      <c r="B2" s="166" t="s">
        <v>23</v>
      </c>
      <c r="C2" s="167" t="s">
        <v>23</v>
      </c>
      <c r="D2" s="167" t="s">
        <v>21</v>
      </c>
      <c r="E2" s="167" t="s">
        <v>21</v>
      </c>
      <c r="F2" s="167" t="s">
        <v>19</v>
      </c>
      <c r="G2" s="167" t="s">
        <v>19</v>
      </c>
      <c r="H2" s="167" t="s">
        <v>19</v>
      </c>
      <c r="I2" s="167" t="s">
        <v>19</v>
      </c>
      <c r="J2" s="167" t="s">
        <v>23</v>
      </c>
      <c r="K2" s="167" t="s">
        <v>23</v>
      </c>
      <c r="L2" s="167" t="s">
        <v>21</v>
      </c>
      <c r="M2" s="167" t="s">
        <v>21</v>
      </c>
      <c r="N2" s="167" t="s">
        <v>19</v>
      </c>
      <c r="O2" s="167" t="s">
        <v>19</v>
      </c>
      <c r="P2" s="167" t="s">
        <v>19</v>
      </c>
      <c r="Q2" s="167" t="s">
        <v>19</v>
      </c>
      <c r="R2" s="167" t="s">
        <v>23</v>
      </c>
      <c r="S2" s="167" t="s">
        <v>23</v>
      </c>
      <c r="T2" s="167" t="s">
        <v>21</v>
      </c>
      <c r="U2" s="167" t="s">
        <v>21</v>
      </c>
      <c r="V2" s="167" t="s">
        <v>19</v>
      </c>
      <c r="W2" s="167" t="s">
        <v>19</v>
      </c>
      <c r="X2" s="167" t="s">
        <v>19</v>
      </c>
      <c r="Y2" s="167" t="s">
        <v>19</v>
      </c>
      <c r="Z2" s="167" t="s">
        <v>23</v>
      </c>
      <c r="AA2" s="167" t="s">
        <v>23</v>
      </c>
      <c r="AB2" s="167" t="s">
        <v>21</v>
      </c>
      <c r="AC2" s="167" t="s">
        <v>21</v>
      </c>
      <c r="AD2" s="167" t="s">
        <v>19</v>
      </c>
      <c r="AE2" s="167" t="s">
        <v>19</v>
      </c>
      <c r="AF2" s="167" t="s">
        <v>19</v>
      </c>
    </row>
    <row x14ac:dyDescent="0.25" r="3" customHeight="1" ht="19.5">
      <c r="A3" s="168">
        <v>40516</v>
      </c>
      <c r="B3" s="169" t="s">
        <v>23</v>
      </c>
      <c r="C3" s="170" t="s">
        <v>23</v>
      </c>
      <c r="D3" s="170" t="s">
        <v>21</v>
      </c>
      <c r="E3" s="170" t="s">
        <v>21</v>
      </c>
      <c r="F3" s="170" t="s">
        <v>19</v>
      </c>
      <c r="G3" s="170" t="s">
        <v>19</v>
      </c>
      <c r="H3" s="170" t="s">
        <v>19</v>
      </c>
      <c r="I3" s="170" t="s">
        <v>19</v>
      </c>
      <c r="J3" s="170" t="s">
        <v>23</v>
      </c>
      <c r="K3" s="170" t="s">
        <v>23</v>
      </c>
      <c r="L3" s="170" t="s">
        <v>21</v>
      </c>
      <c r="M3" s="170" t="s">
        <v>21</v>
      </c>
      <c r="N3" s="170" t="s">
        <v>19</v>
      </c>
      <c r="O3" s="170" t="s">
        <v>19</v>
      </c>
      <c r="P3" s="170" t="s">
        <v>19</v>
      </c>
      <c r="Q3" s="170" t="s">
        <v>19</v>
      </c>
      <c r="R3" s="170" t="s">
        <v>23</v>
      </c>
      <c r="S3" s="170" t="s">
        <v>23</v>
      </c>
      <c r="T3" s="170" t="s">
        <v>21</v>
      </c>
      <c r="U3" s="170" t="s">
        <v>21</v>
      </c>
      <c r="V3" s="170" t="s">
        <v>19</v>
      </c>
      <c r="W3" s="170" t="s">
        <v>19</v>
      </c>
      <c r="X3" s="170" t="s">
        <v>19</v>
      </c>
      <c r="Y3" s="170" t="s">
        <v>19</v>
      </c>
      <c r="Z3" s="170" t="s">
        <v>23</v>
      </c>
      <c r="AA3" s="170" t="s">
        <v>23</v>
      </c>
      <c r="AB3" s="170" t="s">
        <v>21</v>
      </c>
      <c r="AC3" s="170" t="s">
        <v>21</v>
      </c>
      <c r="AD3" s="170" t="s">
        <v>19</v>
      </c>
      <c r="AE3" s="170" t="s">
        <v>19</v>
      </c>
      <c r="AF3" s="170" t="s">
        <v>19</v>
      </c>
    </row>
    <row x14ac:dyDescent="0.25" r="4" customHeight="1" ht="19.5">
      <c r="A4" s="168">
        <v>17983</v>
      </c>
      <c r="B4" s="169" t="s">
        <v>23</v>
      </c>
      <c r="C4" s="170" t="s">
        <v>23</v>
      </c>
      <c r="D4" s="170" t="s">
        <v>21</v>
      </c>
      <c r="E4" s="170" t="s">
        <v>21</v>
      </c>
      <c r="F4" s="170" t="s">
        <v>19</v>
      </c>
      <c r="G4" s="170" t="s">
        <v>19</v>
      </c>
      <c r="H4" s="170" t="s">
        <v>19</v>
      </c>
      <c r="I4" s="170" t="s">
        <v>19</v>
      </c>
      <c r="J4" s="170" t="s">
        <v>23</v>
      </c>
      <c r="K4" s="170" t="s">
        <v>23</v>
      </c>
      <c r="L4" s="170" t="s">
        <v>21</v>
      </c>
      <c r="M4" s="170" t="s">
        <v>21</v>
      </c>
      <c r="N4" s="170" t="s">
        <v>19</v>
      </c>
      <c r="O4" s="170" t="s">
        <v>19</v>
      </c>
      <c r="P4" s="170" t="s">
        <v>19</v>
      </c>
      <c r="Q4" s="170" t="s">
        <v>19</v>
      </c>
      <c r="R4" s="170" t="s">
        <v>20</v>
      </c>
      <c r="S4" s="170" t="s">
        <v>20</v>
      </c>
      <c r="T4" s="170" t="s">
        <v>20</v>
      </c>
      <c r="U4" s="170" t="s">
        <v>20</v>
      </c>
      <c r="V4" s="170" t="s">
        <v>20</v>
      </c>
      <c r="W4" s="170" t="s">
        <v>24</v>
      </c>
      <c r="X4" s="170" t="s">
        <v>24</v>
      </c>
      <c r="Y4" s="170" t="s">
        <v>20</v>
      </c>
      <c r="Z4" s="170" t="s">
        <v>20</v>
      </c>
      <c r="AA4" s="170" t="s">
        <v>20</v>
      </c>
      <c r="AB4" s="170" t="s">
        <v>20</v>
      </c>
      <c r="AC4" s="170" t="s">
        <v>20</v>
      </c>
      <c r="AD4" s="170" t="s">
        <v>24</v>
      </c>
      <c r="AE4" s="170" t="s">
        <v>24</v>
      </c>
      <c r="AF4" s="170" t="s">
        <v>20</v>
      </c>
    </row>
    <row x14ac:dyDescent="0.25" r="5" customHeight="1" ht="19.5">
      <c r="A5" s="168">
        <v>19575</v>
      </c>
      <c r="B5" s="169" t="s">
        <v>21</v>
      </c>
      <c r="C5" s="170" t="s">
        <v>21</v>
      </c>
      <c r="D5" s="170" t="s">
        <v>19</v>
      </c>
      <c r="E5" s="170" t="s">
        <v>19</v>
      </c>
      <c r="F5" s="170" t="s">
        <v>19</v>
      </c>
      <c r="G5" s="170" t="s">
        <v>19</v>
      </c>
      <c r="H5" s="170" t="s">
        <v>23</v>
      </c>
      <c r="I5" s="170" t="s">
        <v>23</v>
      </c>
      <c r="J5" s="170" t="s">
        <v>21</v>
      </c>
      <c r="K5" s="170" t="s">
        <v>21</v>
      </c>
      <c r="L5" s="170" t="s">
        <v>19</v>
      </c>
      <c r="M5" s="170" t="s">
        <v>19</v>
      </c>
      <c r="N5" s="170" t="s">
        <v>19</v>
      </c>
      <c r="O5" s="170" t="s">
        <v>19</v>
      </c>
      <c r="P5" s="170" t="s">
        <v>23</v>
      </c>
      <c r="Q5" s="170" t="s">
        <v>23</v>
      </c>
      <c r="R5" s="170" t="s">
        <v>21</v>
      </c>
      <c r="S5" s="170" t="s">
        <v>21</v>
      </c>
      <c r="T5" s="170" t="s">
        <v>19</v>
      </c>
      <c r="U5" s="170" t="s">
        <v>19</v>
      </c>
      <c r="V5" s="170" t="s">
        <v>19</v>
      </c>
      <c r="W5" s="170" t="s">
        <v>19</v>
      </c>
      <c r="X5" s="170" t="s">
        <v>23</v>
      </c>
      <c r="Y5" s="170" t="s">
        <v>23</v>
      </c>
      <c r="Z5" s="170" t="s">
        <v>21</v>
      </c>
      <c r="AA5" s="170" t="s">
        <v>21</v>
      </c>
      <c r="AB5" s="170" t="s">
        <v>19</v>
      </c>
      <c r="AC5" s="170" t="s">
        <v>19</v>
      </c>
      <c r="AD5" s="170" t="s">
        <v>19</v>
      </c>
      <c r="AE5" s="170" t="s">
        <v>19</v>
      </c>
      <c r="AF5" s="170" t="s">
        <v>23</v>
      </c>
    </row>
    <row x14ac:dyDescent="0.25" r="6" customHeight="1" ht="19.5">
      <c r="A6" s="168">
        <v>17826</v>
      </c>
      <c r="B6" s="169" t="s">
        <v>21</v>
      </c>
      <c r="C6" s="170" t="s">
        <v>21</v>
      </c>
      <c r="D6" s="170" t="s">
        <v>19</v>
      </c>
      <c r="E6" s="170" t="s">
        <v>19</v>
      </c>
      <c r="F6" s="170" t="s">
        <v>19</v>
      </c>
      <c r="G6" s="170" t="s">
        <v>19</v>
      </c>
      <c r="H6" s="170" t="s">
        <v>23</v>
      </c>
      <c r="I6" s="170" t="s">
        <v>23</v>
      </c>
      <c r="J6" s="170" t="s">
        <v>21</v>
      </c>
      <c r="K6" s="170" t="s">
        <v>21</v>
      </c>
      <c r="L6" s="170" t="s">
        <v>19</v>
      </c>
      <c r="M6" s="170" t="s">
        <v>19</v>
      </c>
      <c r="N6" s="170" t="s">
        <v>19</v>
      </c>
      <c r="O6" s="170" t="s">
        <v>19</v>
      </c>
      <c r="P6" s="170" t="s">
        <v>23</v>
      </c>
      <c r="Q6" s="170" t="s">
        <v>23</v>
      </c>
      <c r="R6" s="170" t="s">
        <v>21</v>
      </c>
      <c r="S6" s="170" t="s">
        <v>21</v>
      </c>
      <c r="T6" s="170" t="s">
        <v>19</v>
      </c>
      <c r="U6" s="170" t="s">
        <v>19</v>
      </c>
      <c r="V6" s="170" t="s">
        <v>19</v>
      </c>
      <c r="W6" s="170" t="s">
        <v>19</v>
      </c>
      <c r="X6" s="170" t="s">
        <v>20</v>
      </c>
      <c r="Y6" s="170" t="s">
        <v>20</v>
      </c>
      <c r="Z6" s="170" t="s">
        <v>20</v>
      </c>
      <c r="AA6" s="170" t="s">
        <v>20</v>
      </c>
      <c r="AB6" s="170" t="s">
        <v>24</v>
      </c>
      <c r="AC6" s="170" t="s">
        <v>24</v>
      </c>
      <c r="AD6" s="170" t="s">
        <v>20</v>
      </c>
      <c r="AE6" s="170" t="s">
        <v>20</v>
      </c>
      <c r="AF6" s="170" t="s">
        <v>20</v>
      </c>
    </row>
    <row x14ac:dyDescent="0.25" r="7" customHeight="1" ht="19.5">
      <c r="A7" s="168">
        <v>19612</v>
      </c>
      <c r="B7" s="169" t="s">
        <v>19</v>
      </c>
      <c r="C7" s="170" t="s">
        <v>19</v>
      </c>
      <c r="D7" s="170" t="s">
        <v>19</v>
      </c>
      <c r="E7" s="170" t="s">
        <v>19</v>
      </c>
      <c r="F7" s="170" t="s">
        <v>23</v>
      </c>
      <c r="G7" s="170" t="s">
        <v>23</v>
      </c>
      <c r="H7" s="170" t="s">
        <v>21</v>
      </c>
      <c r="I7" s="170" t="s">
        <v>21</v>
      </c>
      <c r="J7" s="170" t="s">
        <v>19</v>
      </c>
      <c r="K7" s="170" t="s">
        <v>19</v>
      </c>
      <c r="L7" s="170" t="s">
        <v>19</v>
      </c>
      <c r="M7" s="170" t="s">
        <v>19</v>
      </c>
      <c r="N7" s="170" t="s">
        <v>23</v>
      </c>
      <c r="O7" s="170" t="s">
        <v>23</v>
      </c>
      <c r="P7" s="170" t="s">
        <v>21</v>
      </c>
      <c r="Q7" s="170" t="s">
        <v>21</v>
      </c>
      <c r="R7" s="170" t="s">
        <v>19</v>
      </c>
      <c r="S7" s="170" t="s">
        <v>19</v>
      </c>
      <c r="T7" s="170" t="s">
        <v>19</v>
      </c>
      <c r="U7" s="170" t="s">
        <v>19</v>
      </c>
      <c r="V7" s="170" t="s">
        <v>23</v>
      </c>
      <c r="W7" s="170" t="s">
        <v>23</v>
      </c>
      <c r="X7" s="170" t="s">
        <v>21</v>
      </c>
      <c r="Y7" s="170" t="s">
        <v>21</v>
      </c>
      <c r="Z7" s="170" t="s">
        <v>19</v>
      </c>
      <c r="AA7" s="170" t="s">
        <v>19</v>
      </c>
      <c r="AB7" s="170" t="s">
        <v>19</v>
      </c>
      <c r="AC7" s="170" t="s">
        <v>19</v>
      </c>
      <c r="AD7" s="170" t="s">
        <v>23</v>
      </c>
      <c r="AE7" s="170" t="s">
        <v>23</v>
      </c>
      <c r="AF7" s="170" t="s">
        <v>21</v>
      </c>
    </row>
    <row x14ac:dyDescent="0.25" r="8" customHeight="1" ht="19.5">
      <c r="A8" s="168">
        <v>21295</v>
      </c>
      <c r="B8" s="169" t="s">
        <v>24</v>
      </c>
      <c r="C8" s="170" t="s">
        <v>24</v>
      </c>
      <c r="D8" s="170" t="s">
        <v>20</v>
      </c>
      <c r="E8" s="170" t="s">
        <v>20</v>
      </c>
      <c r="F8" s="170" t="s">
        <v>20</v>
      </c>
      <c r="G8" s="170" t="s">
        <v>20</v>
      </c>
      <c r="H8" s="170" t="s">
        <v>20</v>
      </c>
      <c r="I8" s="170" t="s">
        <v>24</v>
      </c>
      <c r="J8" s="170" t="s">
        <v>24</v>
      </c>
      <c r="K8" s="170" t="s">
        <v>20</v>
      </c>
      <c r="L8" s="170" t="s">
        <v>20</v>
      </c>
      <c r="M8" s="170" t="s">
        <v>20</v>
      </c>
      <c r="N8" s="170" t="s">
        <v>20</v>
      </c>
      <c r="O8" s="170" t="s">
        <v>20</v>
      </c>
      <c r="P8" s="170" t="s">
        <v>24</v>
      </c>
      <c r="Q8" s="170" t="s">
        <v>24</v>
      </c>
      <c r="R8" s="170" t="s">
        <v>20</v>
      </c>
      <c r="S8" s="170" t="s">
        <v>20</v>
      </c>
      <c r="T8" s="170" t="s">
        <v>20</v>
      </c>
      <c r="U8" s="170" t="s">
        <v>20</v>
      </c>
      <c r="V8" s="170" t="s">
        <v>23</v>
      </c>
      <c r="W8" s="170" t="s">
        <v>23</v>
      </c>
      <c r="X8" s="170" t="s">
        <v>21</v>
      </c>
      <c r="Y8" s="170" t="s">
        <v>21</v>
      </c>
      <c r="Z8" s="170" t="s">
        <v>19</v>
      </c>
      <c r="AA8" s="170" t="s">
        <v>19</v>
      </c>
      <c r="AB8" s="170" t="s">
        <v>19</v>
      </c>
      <c r="AC8" s="170" t="s">
        <v>19</v>
      </c>
      <c r="AD8" s="170" t="s">
        <v>23</v>
      </c>
      <c r="AE8" s="170" t="s">
        <v>23</v>
      </c>
      <c r="AF8" s="170" t="s">
        <v>21</v>
      </c>
    </row>
    <row x14ac:dyDescent="0.25" r="9" customHeight="1" ht="19.5">
      <c r="A9" s="168">
        <v>19573</v>
      </c>
      <c r="B9" s="169" t="s">
        <v>19</v>
      </c>
      <c r="C9" s="170" t="s">
        <v>19</v>
      </c>
      <c r="D9" s="170" t="s">
        <v>23</v>
      </c>
      <c r="E9" s="170" t="s">
        <v>23</v>
      </c>
      <c r="F9" s="170" t="s">
        <v>21</v>
      </c>
      <c r="G9" s="170" t="s">
        <v>21</v>
      </c>
      <c r="H9" s="170" t="s">
        <v>19</v>
      </c>
      <c r="I9" s="170" t="s">
        <v>19</v>
      </c>
      <c r="J9" s="170" t="s">
        <v>19</v>
      </c>
      <c r="K9" s="170" t="s">
        <v>19</v>
      </c>
      <c r="L9" s="170" t="s">
        <v>23</v>
      </c>
      <c r="M9" s="170" t="s">
        <v>23</v>
      </c>
      <c r="N9" s="170" t="s">
        <v>21</v>
      </c>
      <c r="O9" s="170" t="s">
        <v>21</v>
      </c>
      <c r="P9" s="170" t="s">
        <v>19</v>
      </c>
      <c r="Q9" s="170" t="s">
        <v>19</v>
      </c>
      <c r="R9" s="170" t="s">
        <v>19</v>
      </c>
      <c r="S9" s="170" t="s">
        <v>19</v>
      </c>
      <c r="T9" s="170" t="s">
        <v>23</v>
      </c>
      <c r="U9" s="170" t="s">
        <v>23</v>
      </c>
      <c r="V9" s="170" t="s">
        <v>21</v>
      </c>
      <c r="W9" s="170" t="s">
        <v>21</v>
      </c>
      <c r="X9" s="170" t="s">
        <v>19</v>
      </c>
      <c r="Y9" s="170" t="s">
        <v>19</v>
      </c>
      <c r="Z9" s="170" t="s">
        <v>19</v>
      </c>
      <c r="AA9" s="170" t="s">
        <v>19</v>
      </c>
      <c r="AB9" s="170" t="s">
        <v>23</v>
      </c>
      <c r="AC9" s="170" t="s">
        <v>23</v>
      </c>
      <c r="AD9" s="170" t="s">
        <v>21</v>
      </c>
      <c r="AE9" s="170" t="s">
        <v>21</v>
      </c>
      <c r="AF9" s="170" t="s">
        <v>19</v>
      </c>
    </row>
    <row x14ac:dyDescent="0.25" r="10" customHeight="1" ht="19.5">
      <c r="A10" s="168">
        <v>18383</v>
      </c>
      <c r="B10" s="169" t="s">
        <v>19</v>
      </c>
      <c r="C10" s="170" t="s">
        <v>19</v>
      </c>
      <c r="D10" s="170" t="s">
        <v>23</v>
      </c>
      <c r="E10" s="170" t="s">
        <v>23</v>
      </c>
      <c r="F10" s="170" t="s">
        <v>21</v>
      </c>
      <c r="G10" s="170" t="s">
        <v>21</v>
      </c>
      <c r="H10" s="170" t="s">
        <v>19</v>
      </c>
      <c r="I10" s="170" t="s">
        <v>19</v>
      </c>
      <c r="J10" s="170" t="s">
        <v>19</v>
      </c>
      <c r="K10" s="170" t="s">
        <v>19</v>
      </c>
      <c r="L10" s="170" t="s">
        <v>23</v>
      </c>
      <c r="M10" s="170" t="s">
        <v>23</v>
      </c>
      <c r="N10" s="170" t="s">
        <v>21</v>
      </c>
      <c r="O10" s="170" t="s">
        <v>21</v>
      </c>
      <c r="P10" s="170" t="s">
        <v>19</v>
      </c>
      <c r="Q10" s="170" t="s">
        <v>19</v>
      </c>
      <c r="R10" s="170" t="s">
        <v>19</v>
      </c>
      <c r="S10" s="170" t="s">
        <v>19</v>
      </c>
      <c r="T10" s="170" t="s">
        <v>23</v>
      </c>
      <c r="U10" s="170" t="s">
        <v>23</v>
      </c>
      <c r="V10" s="170" t="s">
        <v>21</v>
      </c>
      <c r="W10" s="170" t="s">
        <v>21</v>
      </c>
      <c r="X10" s="170" t="s">
        <v>19</v>
      </c>
      <c r="Y10" s="170" t="s">
        <v>19</v>
      </c>
      <c r="Z10" s="170" t="s">
        <v>19</v>
      </c>
      <c r="AA10" s="170" t="s">
        <v>19</v>
      </c>
      <c r="AB10" s="170" t="s">
        <v>23</v>
      </c>
      <c r="AC10" s="171" t="s">
        <v>29</v>
      </c>
      <c r="AD10" s="170" t="s">
        <v>21</v>
      </c>
      <c r="AE10" s="170" t="s">
        <v>21</v>
      </c>
      <c r="AF10" s="170" t="s">
        <v>19</v>
      </c>
    </row>
    <row x14ac:dyDescent="0.25" r="11" customHeight="1" ht="19.5">
      <c r="A11" s="168">
        <v>24132</v>
      </c>
      <c r="B11" s="169" t="s">
        <v>24</v>
      </c>
      <c r="C11" s="170" t="s">
        <v>20</v>
      </c>
      <c r="D11" s="170" t="s">
        <v>20</v>
      </c>
      <c r="E11" s="170" t="s">
        <v>20</v>
      </c>
      <c r="F11" s="170" t="s">
        <v>20</v>
      </c>
      <c r="G11" s="170" t="s">
        <v>20</v>
      </c>
      <c r="H11" s="170" t="s">
        <v>24</v>
      </c>
      <c r="I11" s="170" t="s">
        <v>24</v>
      </c>
      <c r="J11" s="170" t="s">
        <v>20</v>
      </c>
      <c r="K11" s="170" t="s">
        <v>20</v>
      </c>
      <c r="L11" s="170" t="s">
        <v>20</v>
      </c>
      <c r="M11" s="170" t="s">
        <v>20</v>
      </c>
      <c r="N11" s="170" t="s">
        <v>20</v>
      </c>
      <c r="O11" s="170" t="s">
        <v>24</v>
      </c>
      <c r="P11" s="170" t="s">
        <v>24</v>
      </c>
      <c r="Q11" s="170" t="s">
        <v>20</v>
      </c>
      <c r="R11" s="170" t="s">
        <v>20</v>
      </c>
      <c r="S11" s="170" t="s">
        <v>20</v>
      </c>
      <c r="T11" s="170" t="s">
        <v>23</v>
      </c>
      <c r="U11" s="170" t="s">
        <v>23</v>
      </c>
      <c r="V11" s="170" t="s">
        <v>21</v>
      </c>
      <c r="W11" s="170" t="s">
        <v>21</v>
      </c>
      <c r="X11" s="170" t="s">
        <v>19</v>
      </c>
      <c r="Y11" s="170" t="s">
        <v>19</v>
      </c>
      <c r="Z11" s="170" t="s">
        <v>19</v>
      </c>
      <c r="AA11" s="170" t="s">
        <v>19</v>
      </c>
      <c r="AB11" s="170" t="s">
        <v>23</v>
      </c>
      <c r="AC11" s="170" t="s">
        <v>23</v>
      </c>
      <c r="AD11" s="170" t="s">
        <v>21</v>
      </c>
      <c r="AE11" s="170" t="s">
        <v>21</v>
      </c>
      <c r="AF11" s="170" t="s">
        <v>19</v>
      </c>
    </row>
    <row x14ac:dyDescent="0.25" r="12" customHeight="1" ht="19.5">
      <c r="A12" s="168">
        <v>18615</v>
      </c>
      <c r="B12" s="169" t="s">
        <v>19</v>
      </c>
      <c r="C12" s="170" t="s">
        <v>19</v>
      </c>
      <c r="D12" s="170" t="s">
        <v>19</v>
      </c>
      <c r="E12" s="170" t="s">
        <v>19</v>
      </c>
      <c r="F12" s="170" t="s">
        <v>23</v>
      </c>
      <c r="G12" s="170" t="s">
        <v>23</v>
      </c>
      <c r="H12" s="170" t="s">
        <v>21</v>
      </c>
      <c r="I12" s="170" t="s">
        <v>21</v>
      </c>
      <c r="J12" s="170" t="s">
        <v>19</v>
      </c>
      <c r="K12" s="170" t="s">
        <v>19</v>
      </c>
      <c r="L12" s="170" t="s">
        <v>19</v>
      </c>
      <c r="M12" s="170" t="s">
        <v>19</v>
      </c>
      <c r="N12" s="170" t="s">
        <v>23</v>
      </c>
      <c r="O12" s="170" t="s">
        <v>23</v>
      </c>
      <c r="P12" s="170" t="s">
        <v>21</v>
      </c>
      <c r="Q12" s="170" t="s">
        <v>21</v>
      </c>
      <c r="R12" s="170" t="s">
        <v>19</v>
      </c>
      <c r="S12" s="170" t="s">
        <v>19</v>
      </c>
      <c r="T12" s="170" t="s">
        <v>19</v>
      </c>
      <c r="U12" s="170" t="s">
        <v>19</v>
      </c>
      <c r="V12" s="170" t="s">
        <v>23</v>
      </c>
      <c r="W12" s="170" t="s">
        <v>23</v>
      </c>
      <c r="X12" s="170" t="s">
        <v>21</v>
      </c>
      <c r="Y12" s="170" t="s">
        <v>21</v>
      </c>
      <c r="Z12" s="170" t="s">
        <v>19</v>
      </c>
      <c r="AA12" s="170" t="s">
        <v>19</v>
      </c>
      <c r="AB12" s="170" t="s">
        <v>19</v>
      </c>
      <c r="AC12" s="170" t="s">
        <v>19</v>
      </c>
      <c r="AD12" s="170" t="s">
        <v>23</v>
      </c>
      <c r="AE12" s="170" t="s">
        <v>23</v>
      </c>
      <c r="AF12" s="170" t="s">
        <v>21</v>
      </c>
    </row>
    <row x14ac:dyDescent="0.25" r="13" customHeight="1" ht="20.25">
      <c r="A13" s="168">
        <v>17997</v>
      </c>
      <c r="B13" s="169" t="s">
        <v>21</v>
      </c>
      <c r="C13" s="170" t="s">
        <v>21</v>
      </c>
      <c r="D13" s="170" t="s">
        <v>19</v>
      </c>
      <c r="E13" s="170" t="s">
        <v>19</v>
      </c>
      <c r="F13" s="170" t="s">
        <v>19</v>
      </c>
      <c r="G13" s="170" t="s">
        <v>19</v>
      </c>
      <c r="H13" s="170" t="s">
        <v>23</v>
      </c>
      <c r="I13" s="170" t="s">
        <v>23</v>
      </c>
      <c r="J13" s="170" t="s">
        <v>21</v>
      </c>
      <c r="K13" s="170" t="s">
        <v>21</v>
      </c>
      <c r="L13" s="170" t="s">
        <v>19</v>
      </c>
      <c r="M13" s="170" t="s">
        <v>19</v>
      </c>
      <c r="N13" s="170" t="s">
        <v>19</v>
      </c>
      <c r="O13" s="170" t="s">
        <v>19</v>
      </c>
      <c r="P13" s="170" t="s">
        <v>23</v>
      </c>
      <c r="Q13" s="170" t="s">
        <v>23</v>
      </c>
      <c r="R13" s="170" t="s">
        <v>21</v>
      </c>
      <c r="S13" s="170" t="s">
        <v>21</v>
      </c>
      <c r="T13" s="170" t="s">
        <v>19</v>
      </c>
      <c r="U13" s="170" t="s">
        <v>19</v>
      </c>
      <c r="V13" s="170" t="s">
        <v>19</v>
      </c>
      <c r="W13" s="170" t="s">
        <v>19</v>
      </c>
      <c r="X13" s="170" t="s">
        <v>23</v>
      </c>
      <c r="Y13" s="170" t="s">
        <v>23</v>
      </c>
      <c r="Z13" s="170" t="s">
        <v>21</v>
      </c>
      <c r="AA13" s="170" t="s">
        <v>21</v>
      </c>
      <c r="AB13" s="170" t="s">
        <v>19</v>
      </c>
      <c r="AC13" s="170" t="s">
        <v>19</v>
      </c>
      <c r="AD13" s="170" t="s">
        <v>19</v>
      </c>
      <c r="AE13" s="170" t="s">
        <v>19</v>
      </c>
      <c r="AF13" s="170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44"/>
  <sheetViews>
    <sheetView workbookViewId="0"/>
  </sheetViews>
  <sheetFormatPr defaultRowHeight="15" x14ac:dyDescent="0.25"/>
  <cols>
    <col min="1" max="1" style="158" width="13.576428571428572" customWidth="1" bestFit="1"/>
    <col min="2" max="2" style="158" width="7.576428571428571" customWidth="1" bestFit="1"/>
    <col min="3" max="3" style="158" width="24.005" customWidth="1" bestFit="1"/>
    <col min="4" max="4" style="159" width="8.719285714285713" customWidth="1" bestFit="1"/>
    <col min="5" max="5" style="159" width="13.576428571428572" customWidth="1" bestFit="1"/>
    <col min="6" max="6" style="159" width="13.576428571428572" customWidth="1" bestFit="1"/>
    <col min="7" max="7" style="159" width="13.576428571428572" customWidth="1" bestFit="1"/>
    <col min="8" max="8" style="159" width="13.576428571428572" customWidth="1" bestFit="1"/>
    <col min="9" max="9" style="159" width="13.576428571428572" customWidth="1" bestFit="1"/>
    <col min="10" max="10" style="159" width="13.576428571428572" customWidth="1" bestFit="1"/>
    <col min="11" max="11" style="159" width="13.576428571428572" customWidth="1" bestFit="1"/>
    <col min="12" max="12" style="159" width="13.576428571428572" customWidth="1" bestFit="1"/>
    <col min="13" max="13" style="159" width="13.576428571428572" customWidth="1" bestFit="1"/>
    <col min="14" max="14" style="159" width="13.576428571428572" customWidth="1" bestFit="1"/>
    <col min="15" max="15" style="159" width="13.576428571428572" customWidth="1" bestFit="1"/>
    <col min="16" max="16" style="159" width="13.576428571428572" customWidth="1" bestFit="1"/>
    <col min="17" max="17" style="159" width="13.576428571428572" customWidth="1" bestFit="1"/>
    <col min="18" max="18" style="159" width="13.576428571428572" customWidth="1" bestFit="1"/>
    <col min="19" max="19" style="159" width="13.576428571428572" customWidth="1" bestFit="1"/>
    <col min="20" max="20" style="159" width="13.576428571428572" customWidth="1" bestFit="1"/>
    <col min="21" max="21" style="159" width="13.576428571428572" customWidth="1" bestFit="1"/>
    <col min="22" max="22" style="159" width="13.576428571428572" customWidth="1" bestFit="1"/>
    <col min="23" max="23" style="159" width="13.576428571428572" customWidth="1" bestFit="1"/>
    <col min="24" max="24" style="159" width="13.576428571428572" customWidth="1" bestFit="1"/>
    <col min="25" max="25" style="159" width="13.576428571428572" customWidth="1" bestFit="1"/>
    <col min="26" max="26" style="159" width="13.576428571428572" customWidth="1" bestFit="1"/>
    <col min="27" max="27" style="159" width="13.576428571428572" customWidth="1" bestFit="1"/>
    <col min="28" max="28" style="159" width="13.576428571428572" customWidth="1" bestFit="1"/>
    <col min="29" max="29" style="159" width="13.576428571428572" customWidth="1" bestFit="1"/>
    <col min="30" max="30" style="159" width="13.576428571428572" customWidth="1" bestFit="1"/>
    <col min="31" max="31" style="159" width="13.576428571428572" customWidth="1" bestFit="1"/>
    <col min="32" max="32" style="159" width="13.576428571428572" customWidth="1" bestFit="1"/>
    <col min="33" max="33" style="159" width="13.576428571428572" customWidth="1" bestFit="1"/>
    <col min="34" max="34" style="159" width="13.576428571428572" customWidth="1" bestFit="1"/>
    <col min="35" max="35" style="159" width="13.576428571428572" customWidth="1" bestFit="1"/>
    <col min="36" max="36" style="159" width="13.576428571428572" customWidth="1" bestFit="1"/>
    <col min="37" max="37" style="159" width="13.576428571428572" customWidth="1" bestFit="1"/>
    <col min="38" max="38" style="159" width="13.576428571428572" customWidth="1" bestFit="1"/>
    <col min="39" max="39" style="158" width="13.576428571428572" customWidth="1" bestFit="1"/>
    <col min="40" max="40" style="158" width="10.576428571428572" customWidth="1" bestFit="1"/>
    <col min="41" max="41" style="158" width="14.290714285714287" customWidth="1" bestFit="1"/>
    <col min="42" max="42" style="158" width="34.29071428571429" customWidth="1" bestFit="1"/>
    <col min="43" max="43" style="160" width="9.005" customWidth="1" bestFit="1"/>
    <col min="44" max="44" style="158" width="13.862142857142858" customWidth="1" bestFit="1"/>
  </cols>
  <sheetData>
    <row x14ac:dyDescent="0.25" r="1" customHeight="1" ht="18.75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1"/>
      <c r="AN1" s="1"/>
      <c r="AO1" s="1"/>
      <c r="AP1" s="1"/>
      <c r="AQ1" s="3"/>
      <c r="AR1" s="1"/>
    </row>
    <row x14ac:dyDescent="0.25" r="2" customHeight="1" ht="18.7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1"/>
      <c r="AN2" s="1"/>
      <c r="AO2" s="1"/>
      <c r="AP2" s="1"/>
      <c r="AQ2" s="3"/>
      <c r="AR2" s="1"/>
    </row>
    <row x14ac:dyDescent="0.25" r="3" customHeight="1" ht="18.75">
      <c r="A3" s="1"/>
      <c r="B3" s="4" t="s">
        <v>0</v>
      </c>
      <c r="C3" s="5"/>
      <c r="D3" s="6"/>
      <c r="E3" s="7" t="s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  <c r="AI3" s="10"/>
      <c r="AJ3" s="10"/>
      <c r="AK3" s="10"/>
      <c r="AL3" s="10"/>
      <c r="AM3" s="1"/>
      <c r="AN3" s="1"/>
      <c r="AO3" s="1"/>
      <c r="AP3" s="1"/>
      <c r="AQ3" s="3"/>
      <c r="AR3" s="1"/>
    </row>
    <row x14ac:dyDescent="0.25" r="4" customHeight="1" ht="18.75">
      <c r="A4" s="1"/>
      <c r="B4" s="11" t="s">
        <v>2</v>
      </c>
      <c r="C4" s="12"/>
      <c r="D4" s="13"/>
      <c r="E4" s="14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5" t="s">
        <v>8</v>
      </c>
      <c r="K4" s="15" t="s">
        <v>9</v>
      </c>
      <c r="L4" s="15" t="s">
        <v>3</v>
      </c>
      <c r="M4" s="15" t="s">
        <v>4</v>
      </c>
      <c r="N4" s="15" t="s">
        <v>5</v>
      </c>
      <c r="O4" s="15" t="s">
        <v>6</v>
      </c>
      <c r="P4" s="15" t="s">
        <v>7</v>
      </c>
      <c r="Q4" s="15" t="s">
        <v>8</v>
      </c>
      <c r="R4" s="15" t="s">
        <v>9</v>
      </c>
      <c r="S4" s="15" t="s">
        <v>3</v>
      </c>
      <c r="T4" s="15" t="s">
        <v>4</v>
      </c>
      <c r="U4" s="15" t="s">
        <v>5</v>
      </c>
      <c r="V4" s="15" t="s">
        <v>6</v>
      </c>
      <c r="W4" s="15" t="s">
        <v>7</v>
      </c>
      <c r="X4" s="15" t="s">
        <v>8</v>
      </c>
      <c r="Y4" s="15" t="s">
        <v>9</v>
      </c>
      <c r="Z4" s="15" t="s">
        <v>3</v>
      </c>
      <c r="AA4" s="15" t="s">
        <v>4</v>
      </c>
      <c r="AB4" s="15" t="s">
        <v>5</v>
      </c>
      <c r="AC4" s="15" t="s">
        <v>6</v>
      </c>
      <c r="AD4" s="15" t="s">
        <v>7</v>
      </c>
      <c r="AE4" s="15" t="s">
        <v>8</v>
      </c>
      <c r="AF4" s="15" t="s">
        <v>9</v>
      </c>
      <c r="AG4" s="15" t="s">
        <v>3</v>
      </c>
      <c r="AH4" s="16" t="s">
        <v>4</v>
      </c>
      <c r="AI4" s="17"/>
      <c r="AJ4" s="17"/>
      <c r="AK4" s="17"/>
      <c r="AL4" s="17"/>
      <c r="AM4" s="1"/>
      <c r="AN4" s="1"/>
      <c r="AO4" s="1"/>
      <c r="AP4" s="1"/>
      <c r="AQ4" s="3"/>
      <c r="AR4" s="1"/>
    </row>
    <row x14ac:dyDescent="0.25" r="5" customHeight="1" ht="18.75">
      <c r="A5" s="1"/>
      <c r="B5" s="18" t="s">
        <v>10</v>
      </c>
      <c r="C5" s="19" t="s">
        <v>11</v>
      </c>
      <c r="D5" s="20" t="s">
        <v>12</v>
      </c>
      <c r="E5" s="21">
        <v>45597</v>
      </c>
      <c r="F5" s="22">
        <v>45598</v>
      </c>
      <c r="G5" s="22">
        <v>45599</v>
      </c>
      <c r="H5" s="22">
        <v>45600</v>
      </c>
      <c r="I5" s="22">
        <v>45601</v>
      </c>
      <c r="J5" s="22">
        <v>45602</v>
      </c>
      <c r="K5" s="22">
        <v>45603</v>
      </c>
      <c r="L5" s="22">
        <v>45604</v>
      </c>
      <c r="M5" s="22">
        <v>45605</v>
      </c>
      <c r="N5" s="22">
        <v>45606</v>
      </c>
      <c r="O5" s="22">
        <v>45607</v>
      </c>
      <c r="P5" s="22">
        <v>45608</v>
      </c>
      <c r="Q5" s="22">
        <v>45609</v>
      </c>
      <c r="R5" s="22">
        <v>45610</v>
      </c>
      <c r="S5" s="22">
        <v>45611</v>
      </c>
      <c r="T5" s="22">
        <v>45612</v>
      </c>
      <c r="U5" s="22">
        <v>45613</v>
      </c>
      <c r="V5" s="22">
        <v>45614</v>
      </c>
      <c r="W5" s="22">
        <v>45615</v>
      </c>
      <c r="X5" s="22">
        <v>45616</v>
      </c>
      <c r="Y5" s="22">
        <v>45617</v>
      </c>
      <c r="Z5" s="22">
        <v>45618</v>
      </c>
      <c r="AA5" s="22">
        <v>45619</v>
      </c>
      <c r="AB5" s="22">
        <v>45620</v>
      </c>
      <c r="AC5" s="22">
        <v>45621</v>
      </c>
      <c r="AD5" s="22">
        <v>45622</v>
      </c>
      <c r="AE5" s="22">
        <v>45623</v>
      </c>
      <c r="AF5" s="22">
        <v>45624</v>
      </c>
      <c r="AG5" s="22">
        <v>45625</v>
      </c>
      <c r="AH5" s="23">
        <v>45626</v>
      </c>
      <c r="AI5" s="24" t="s">
        <v>13</v>
      </c>
      <c r="AJ5" s="24" t="s">
        <v>14</v>
      </c>
      <c r="AK5" s="24" t="s">
        <v>15</v>
      </c>
      <c r="AL5" s="24" t="s">
        <v>16</v>
      </c>
      <c r="AM5" s="1"/>
      <c r="AN5" s="1"/>
      <c r="AO5" s="1"/>
      <c r="AP5" s="1"/>
      <c r="AQ5" s="3"/>
      <c r="AR5" s="1"/>
    </row>
    <row x14ac:dyDescent="0.25" r="6" customHeight="1" ht="18.75">
      <c r="A6" s="1"/>
      <c r="B6" s="25" t="s">
        <v>17</v>
      </c>
      <c r="C6" s="26" t="s">
        <v>18</v>
      </c>
      <c r="D6" s="27">
        <v>19371</v>
      </c>
      <c r="E6" s="28" t="s">
        <v>19</v>
      </c>
      <c r="F6" s="29" t="s">
        <v>20</v>
      </c>
      <c r="G6" s="29" t="s">
        <v>20</v>
      </c>
      <c r="H6" s="30" t="s">
        <v>21</v>
      </c>
      <c r="I6" s="30" t="s">
        <v>21</v>
      </c>
      <c r="J6" s="31" t="s">
        <v>22</v>
      </c>
      <c r="K6" s="32" t="s">
        <v>19</v>
      </c>
      <c r="L6" s="32" t="s">
        <v>19</v>
      </c>
      <c r="M6" s="32" t="s">
        <v>19</v>
      </c>
      <c r="N6" s="30" t="s">
        <v>23</v>
      </c>
      <c r="O6" s="30" t="s">
        <v>23</v>
      </c>
      <c r="P6" s="30" t="s">
        <v>21</v>
      </c>
      <c r="Q6" s="30" t="s">
        <v>21</v>
      </c>
      <c r="R6" s="32" t="s">
        <v>19</v>
      </c>
      <c r="S6" s="32" t="s">
        <v>19</v>
      </c>
      <c r="T6" s="32" t="s">
        <v>19</v>
      </c>
      <c r="U6" s="32" t="s">
        <v>19</v>
      </c>
      <c r="V6" s="29" t="s">
        <v>20</v>
      </c>
      <c r="W6" s="29" t="s">
        <v>20</v>
      </c>
      <c r="X6" s="29" t="s">
        <v>20</v>
      </c>
      <c r="Y6" s="29" t="s">
        <v>20</v>
      </c>
      <c r="Z6" s="29" t="s">
        <v>20</v>
      </c>
      <c r="AA6" s="33" t="s">
        <v>24</v>
      </c>
      <c r="AB6" s="33" t="s">
        <v>24</v>
      </c>
      <c r="AC6" s="29" t="s">
        <v>20</v>
      </c>
      <c r="AD6" s="29" t="s">
        <v>20</v>
      </c>
      <c r="AE6" s="30" t="s">
        <v>23</v>
      </c>
      <c r="AF6" s="30" t="s">
        <v>21</v>
      </c>
      <c r="AG6" s="30" t="s">
        <v>21</v>
      </c>
      <c r="AH6" s="34" t="s">
        <v>19</v>
      </c>
      <c r="AI6" s="35">
        <v>4</v>
      </c>
      <c r="AJ6" s="35">
        <f>SUM(COUNTIF(E6:AH6,{"R/D","R/N"}))</f>
      </c>
      <c r="AK6" s="35">
        <v>0</v>
      </c>
      <c r="AL6" s="35">
        <f>AI6+AJ6*12+AK6*8</f>
      </c>
      <c r="AM6" s="1"/>
      <c r="AN6" s="1"/>
      <c r="AO6" s="1"/>
      <c r="AP6" s="1"/>
      <c r="AQ6" s="3"/>
      <c r="AR6" s="1"/>
    </row>
    <row x14ac:dyDescent="0.25" r="7" customHeight="1" ht="18.75">
      <c r="A7" s="1"/>
      <c r="B7" s="36"/>
      <c r="C7" s="37" t="s">
        <v>25</v>
      </c>
      <c r="D7" s="38">
        <v>40516</v>
      </c>
      <c r="E7" s="39" t="s">
        <v>19</v>
      </c>
      <c r="F7" s="40" t="s">
        <v>23</v>
      </c>
      <c r="G7" s="40" t="s">
        <v>23</v>
      </c>
      <c r="H7" s="40" t="s">
        <v>21</v>
      </c>
      <c r="I7" s="40" t="s">
        <v>21</v>
      </c>
      <c r="J7" s="41" t="s">
        <v>19</v>
      </c>
      <c r="K7" s="41" t="s">
        <v>19</v>
      </c>
      <c r="L7" s="41" t="s">
        <v>19</v>
      </c>
      <c r="M7" s="41" t="s">
        <v>19</v>
      </c>
      <c r="N7" s="40" t="s">
        <v>23</v>
      </c>
      <c r="O7" s="42" t="s">
        <v>26</v>
      </c>
      <c r="P7" s="42" t="s">
        <v>26</v>
      </c>
      <c r="Q7" s="40" t="s">
        <v>21</v>
      </c>
      <c r="R7" s="41" t="s">
        <v>19</v>
      </c>
      <c r="S7" s="41" t="s">
        <v>19</v>
      </c>
      <c r="T7" s="41" t="s">
        <v>19</v>
      </c>
      <c r="U7" s="41" t="s">
        <v>19</v>
      </c>
      <c r="V7" s="40" t="s">
        <v>23</v>
      </c>
      <c r="W7" s="40" t="s">
        <v>23</v>
      </c>
      <c r="X7" s="40" t="s">
        <v>21</v>
      </c>
      <c r="Y7" s="40" t="s">
        <v>21</v>
      </c>
      <c r="Z7" s="41" t="s">
        <v>19</v>
      </c>
      <c r="AA7" s="41" t="s">
        <v>19</v>
      </c>
      <c r="AB7" s="41" t="s">
        <v>19</v>
      </c>
      <c r="AC7" s="41" t="s">
        <v>19</v>
      </c>
      <c r="AD7" s="43" t="s">
        <v>20</v>
      </c>
      <c r="AE7" s="43" t="s">
        <v>20</v>
      </c>
      <c r="AF7" s="43" t="s">
        <v>20</v>
      </c>
      <c r="AG7" s="43" t="s">
        <v>20</v>
      </c>
      <c r="AH7" s="44" t="s">
        <v>20</v>
      </c>
      <c r="AI7" s="35">
        <v>6</v>
      </c>
      <c r="AJ7" s="35">
        <f>SUM(COUNTIF(E7:AH7,{"R/D","R/N"}))</f>
      </c>
      <c r="AK7" s="35">
        <v>0</v>
      </c>
      <c r="AL7" s="35">
        <f>AI7+AJ7*12+AK7*8</f>
      </c>
      <c r="AM7" s="1"/>
      <c r="AN7" s="45" t="s">
        <v>27</v>
      </c>
      <c r="AO7" s="46"/>
      <c r="AP7" s="46"/>
      <c r="AQ7" s="47"/>
      <c r="AR7" s="48"/>
    </row>
    <row x14ac:dyDescent="0.25" r="8" customHeight="1" ht="18.75">
      <c r="A8" s="1"/>
      <c r="B8" s="36"/>
      <c r="C8" s="49" t="s">
        <v>28</v>
      </c>
      <c r="D8" s="50">
        <v>17983</v>
      </c>
      <c r="E8" s="51" t="s">
        <v>19</v>
      </c>
      <c r="F8" s="52" t="s">
        <v>23</v>
      </c>
      <c r="G8" s="52" t="s">
        <v>23</v>
      </c>
      <c r="H8" s="52" t="s">
        <v>21</v>
      </c>
      <c r="I8" s="53" t="s">
        <v>20</v>
      </c>
      <c r="J8" s="54" t="s">
        <v>19</v>
      </c>
      <c r="K8" s="55" t="s">
        <v>22</v>
      </c>
      <c r="L8" s="54" t="s">
        <v>19</v>
      </c>
      <c r="M8" s="54" t="s">
        <v>19</v>
      </c>
      <c r="N8" s="56" t="s">
        <v>29</v>
      </c>
      <c r="O8" s="52" t="s">
        <v>23</v>
      </c>
      <c r="P8" s="52" t="s">
        <v>21</v>
      </c>
      <c r="Q8" s="52" t="s">
        <v>21</v>
      </c>
      <c r="R8" s="54" t="s">
        <v>19</v>
      </c>
      <c r="S8" s="55" t="s">
        <v>22</v>
      </c>
      <c r="T8" s="54" t="s">
        <v>19</v>
      </c>
      <c r="U8" s="54" t="s">
        <v>19</v>
      </c>
      <c r="V8" s="52" t="s">
        <v>23</v>
      </c>
      <c r="W8" s="52" t="s">
        <v>23</v>
      </c>
      <c r="X8" s="52" t="s">
        <v>21</v>
      </c>
      <c r="Y8" s="52" t="s">
        <v>21</v>
      </c>
      <c r="Z8" s="54" t="s">
        <v>19</v>
      </c>
      <c r="AA8" s="55" t="s">
        <v>22</v>
      </c>
      <c r="AB8" s="54" t="s">
        <v>19</v>
      </c>
      <c r="AC8" s="54" t="s">
        <v>19</v>
      </c>
      <c r="AD8" s="52" t="s">
        <v>23</v>
      </c>
      <c r="AE8" s="52" t="s">
        <v>23</v>
      </c>
      <c r="AF8" s="52" t="s">
        <v>21</v>
      </c>
      <c r="AG8" s="52" t="s">
        <v>21</v>
      </c>
      <c r="AH8" s="57" t="s">
        <v>19</v>
      </c>
      <c r="AI8" s="35">
        <v>8</v>
      </c>
      <c r="AJ8" s="35">
        <f>SUM(COUNTIF(E8:AH8,{"R/D","R/N"}))</f>
      </c>
      <c r="AK8" s="35">
        <v>0</v>
      </c>
      <c r="AL8" s="35">
        <f>SUM(COUNTIF(AP48:BS48,{"R/D","R/N"}))</f>
      </c>
      <c r="AM8" s="1"/>
      <c r="AN8" s="58" t="s">
        <v>30</v>
      </c>
      <c r="AO8" s="59" t="s">
        <v>31</v>
      </c>
      <c r="AP8" s="59" t="s">
        <v>32</v>
      </c>
      <c r="AQ8" s="60" t="s">
        <v>33</v>
      </c>
      <c r="AR8" s="61" t="s">
        <v>34</v>
      </c>
    </row>
    <row x14ac:dyDescent="0.25" r="9" customHeight="1" ht="18.75">
      <c r="A9" s="1"/>
      <c r="B9" s="25" t="s">
        <v>35</v>
      </c>
      <c r="C9" s="62" t="s">
        <v>36</v>
      </c>
      <c r="D9" s="27">
        <v>19575</v>
      </c>
      <c r="E9" s="56" t="s">
        <v>29</v>
      </c>
      <c r="F9" s="63" t="s">
        <v>21</v>
      </c>
      <c r="G9" s="63" t="s">
        <v>21</v>
      </c>
      <c r="H9" s="64" t="s">
        <v>19</v>
      </c>
      <c r="I9" s="65" t="s">
        <v>37</v>
      </c>
      <c r="J9" s="64" t="s">
        <v>19</v>
      </c>
      <c r="K9" s="64" t="s">
        <v>19</v>
      </c>
      <c r="L9" s="63" t="s">
        <v>23</v>
      </c>
      <c r="M9" s="63" t="s">
        <v>23</v>
      </c>
      <c r="N9" s="63" t="s">
        <v>21</v>
      </c>
      <c r="O9" s="63" t="s">
        <v>21</v>
      </c>
      <c r="P9" s="64" t="s">
        <v>19</v>
      </c>
      <c r="Q9" s="64" t="s">
        <v>19</v>
      </c>
      <c r="R9" s="64" t="s">
        <v>19</v>
      </c>
      <c r="S9" s="64" t="s">
        <v>19</v>
      </c>
      <c r="T9" s="63" t="s">
        <v>23</v>
      </c>
      <c r="U9" s="63" t="s">
        <v>23</v>
      </c>
      <c r="V9" s="63" t="s">
        <v>21</v>
      </c>
      <c r="W9" s="63" t="s">
        <v>21</v>
      </c>
      <c r="X9" s="65" t="s">
        <v>22</v>
      </c>
      <c r="Y9" s="64" t="s">
        <v>19</v>
      </c>
      <c r="Z9" s="64" t="s">
        <v>19</v>
      </c>
      <c r="AA9" s="64" t="s">
        <v>19</v>
      </c>
      <c r="AB9" s="63" t="s">
        <v>23</v>
      </c>
      <c r="AC9" s="63" t="s">
        <v>23</v>
      </c>
      <c r="AD9" s="63" t="s">
        <v>21</v>
      </c>
      <c r="AE9" s="63" t="s">
        <v>21</v>
      </c>
      <c r="AF9" s="64" t="s">
        <v>19</v>
      </c>
      <c r="AG9" s="64" t="s">
        <v>19</v>
      </c>
      <c r="AH9" s="66" t="s">
        <v>19</v>
      </c>
      <c r="AI9" s="35">
        <v>8</v>
      </c>
      <c r="AJ9" s="35">
        <f>SUM(COUNTIF(E9:AH9,{"R/D","R/N"}))</f>
      </c>
      <c r="AK9" s="35">
        <v>0</v>
      </c>
      <c r="AL9" s="35">
        <f>SUM(COUNTIF(AP49:BS49,{"R/D","R/N"}))</f>
      </c>
      <c r="AM9" s="1"/>
      <c r="AN9" s="67" t="s">
        <v>38</v>
      </c>
      <c r="AO9" s="68" t="s">
        <v>39</v>
      </c>
      <c r="AP9" s="69"/>
      <c r="AQ9" s="70" t="s">
        <v>40</v>
      </c>
      <c r="AR9" s="71" t="s">
        <v>41</v>
      </c>
    </row>
    <row x14ac:dyDescent="0.25" r="10" customHeight="1" ht="18.75">
      <c r="A10" s="1"/>
      <c r="B10" s="72"/>
      <c r="C10" s="73" t="s">
        <v>42</v>
      </c>
      <c r="D10" s="50">
        <v>17826</v>
      </c>
      <c r="E10" s="74" t="s">
        <v>23</v>
      </c>
      <c r="F10" s="52" t="s">
        <v>23</v>
      </c>
      <c r="G10" s="52" t="s">
        <v>23</v>
      </c>
      <c r="H10" s="54" t="s">
        <v>19</v>
      </c>
      <c r="I10" s="54" t="s">
        <v>19</v>
      </c>
      <c r="J10" s="54" t="s">
        <v>19</v>
      </c>
      <c r="K10" s="54" t="s">
        <v>19</v>
      </c>
      <c r="L10" s="52" t="s">
        <v>23</v>
      </c>
      <c r="M10" s="52" t="s">
        <v>23</v>
      </c>
      <c r="N10" s="52" t="s">
        <v>21</v>
      </c>
      <c r="O10" s="52" t="s">
        <v>21</v>
      </c>
      <c r="P10" s="54" t="s">
        <v>19</v>
      </c>
      <c r="Q10" s="55" t="s">
        <v>37</v>
      </c>
      <c r="R10" s="54" t="s">
        <v>19</v>
      </c>
      <c r="S10" s="54" t="s">
        <v>19</v>
      </c>
      <c r="T10" s="52" t="s">
        <v>23</v>
      </c>
      <c r="U10" s="56" t="s">
        <v>29</v>
      </c>
      <c r="V10" s="52" t="s">
        <v>23</v>
      </c>
      <c r="W10" s="52" t="s">
        <v>23</v>
      </c>
      <c r="X10" s="54" t="s">
        <v>19</v>
      </c>
      <c r="Y10" s="55" t="s">
        <v>22</v>
      </c>
      <c r="Z10" s="54" t="s">
        <v>19</v>
      </c>
      <c r="AA10" s="54" t="s">
        <v>19</v>
      </c>
      <c r="AB10" s="52" t="s">
        <v>23</v>
      </c>
      <c r="AC10" s="52" t="s">
        <v>23</v>
      </c>
      <c r="AD10" s="52" t="s">
        <v>23</v>
      </c>
      <c r="AE10" s="52" t="s">
        <v>23</v>
      </c>
      <c r="AF10" s="54" t="s">
        <v>19</v>
      </c>
      <c r="AG10" s="54" t="s">
        <v>19</v>
      </c>
      <c r="AH10" s="57" t="s">
        <v>19</v>
      </c>
      <c r="AI10" s="35">
        <v>8</v>
      </c>
      <c r="AJ10" s="35">
        <f>SUM(COUNTIF(E10:AH10,{"R/D","R/N"}))</f>
      </c>
      <c r="AK10" s="35">
        <v>0</v>
      </c>
      <c r="AL10" s="35">
        <f>SUM(COUNTIF(AP50:BS50,{"R/D","R/N"}))</f>
      </c>
      <c r="AM10" s="1"/>
      <c r="AN10" s="75"/>
      <c r="AO10" s="76"/>
      <c r="AP10" s="77" t="s">
        <v>43</v>
      </c>
      <c r="AQ10" s="78"/>
      <c r="AR10" s="79"/>
    </row>
    <row x14ac:dyDescent="0.25" r="11" customHeight="1" ht="18.75">
      <c r="A11" s="1"/>
      <c r="B11" s="25" t="s">
        <v>44</v>
      </c>
      <c r="C11" s="80" t="s">
        <v>45</v>
      </c>
      <c r="D11" s="27">
        <v>19612</v>
      </c>
      <c r="E11" s="81" t="s">
        <v>21</v>
      </c>
      <c r="F11" s="64" t="s">
        <v>19</v>
      </c>
      <c r="G11" s="64" t="s">
        <v>19</v>
      </c>
      <c r="H11" s="65" t="s">
        <v>37</v>
      </c>
      <c r="I11" s="64" t="s">
        <v>19</v>
      </c>
      <c r="J11" s="63" t="s">
        <v>23</v>
      </c>
      <c r="K11" s="63" t="s">
        <v>23</v>
      </c>
      <c r="L11" s="63" t="s">
        <v>21</v>
      </c>
      <c r="M11" s="63" t="s">
        <v>21</v>
      </c>
      <c r="N11" s="64" t="s">
        <v>19</v>
      </c>
      <c r="O11" s="64" t="s">
        <v>19</v>
      </c>
      <c r="P11" s="64" t="s">
        <v>19</v>
      </c>
      <c r="Q11" s="64" t="s">
        <v>19</v>
      </c>
      <c r="R11" s="63" t="s">
        <v>23</v>
      </c>
      <c r="S11" s="63" t="s">
        <v>23</v>
      </c>
      <c r="T11" s="63" t="s">
        <v>21</v>
      </c>
      <c r="U11" s="63" t="s">
        <v>21</v>
      </c>
      <c r="V11" s="64" t="s">
        <v>19</v>
      </c>
      <c r="W11" s="64" t="s">
        <v>19</v>
      </c>
      <c r="X11" s="64" t="s">
        <v>19</v>
      </c>
      <c r="Y11" s="65" t="s">
        <v>37</v>
      </c>
      <c r="Z11" s="63" t="s">
        <v>23</v>
      </c>
      <c r="AA11" s="63" t="s">
        <v>23</v>
      </c>
      <c r="AB11" s="63" t="s">
        <v>21</v>
      </c>
      <c r="AC11" s="63" t="s">
        <v>21</v>
      </c>
      <c r="AD11" s="64" t="s">
        <v>19</v>
      </c>
      <c r="AE11" s="64" t="s">
        <v>19</v>
      </c>
      <c r="AF11" s="64" t="s">
        <v>19</v>
      </c>
      <c r="AG11" s="64" t="s">
        <v>19</v>
      </c>
      <c r="AH11" s="82" t="s">
        <v>23</v>
      </c>
      <c r="AI11" s="35">
        <v>8</v>
      </c>
      <c r="AJ11" s="35">
        <f>SUM(COUNTIF(E11:AH11,{"R/D","R/N"}))</f>
      </c>
      <c r="AK11" s="35">
        <v>0</v>
      </c>
      <c r="AL11" s="35">
        <f>SUM(COUNTIF(AP51:BS51,{"R/D","R/N"}))</f>
      </c>
      <c r="AM11" s="1"/>
      <c r="AN11" s="75"/>
      <c r="AO11" s="76"/>
      <c r="AP11" s="77" t="s">
        <v>46</v>
      </c>
      <c r="AQ11" s="78"/>
      <c r="AR11" s="79"/>
    </row>
    <row x14ac:dyDescent="0.25" r="12" customHeight="1" ht="15.75">
      <c r="A12" s="1"/>
      <c r="B12" s="36"/>
      <c r="C12" s="83" t="s">
        <v>47</v>
      </c>
      <c r="D12" s="50">
        <v>18615</v>
      </c>
      <c r="E12" s="84" t="s">
        <v>21</v>
      </c>
      <c r="F12" s="41" t="s">
        <v>19</v>
      </c>
      <c r="G12" s="41" t="s">
        <v>19</v>
      </c>
      <c r="H12" s="41" t="s">
        <v>19</v>
      </c>
      <c r="I12" s="41" t="s">
        <v>19</v>
      </c>
      <c r="J12" s="40" t="s">
        <v>23</v>
      </c>
      <c r="K12" s="40" t="s">
        <v>23</v>
      </c>
      <c r="L12" s="40" t="s">
        <v>21</v>
      </c>
      <c r="M12" s="40" t="s">
        <v>21</v>
      </c>
      <c r="N12" s="41" t="s">
        <v>19</v>
      </c>
      <c r="O12" s="41" t="s">
        <v>19</v>
      </c>
      <c r="P12" s="41" t="s">
        <v>19</v>
      </c>
      <c r="Q12" s="41" t="s">
        <v>19</v>
      </c>
      <c r="R12" s="40" t="s">
        <v>23</v>
      </c>
      <c r="S12" s="40" t="s">
        <v>23</v>
      </c>
      <c r="T12" s="40" t="s">
        <v>21</v>
      </c>
      <c r="U12" s="40" t="s">
        <v>21</v>
      </c>
      <c r="V12" s="41" t="s">
        <v>19</v>
      </c>
      <c r="W12" s="41" t="s">
        <v>19</v>
      </c>
      <c r="X12" s="85" t="s">
        <v>37</v>
      </c>
      <c r="Y12" s="41" t="s">
        <v>19</v>
      </c>
      <c r="Z12" s="40" t="s">
        <v>23</v>
      </c>
      <c r="AA12" s="40" t="s">
        <v>23</v>
      </c>
      <c r="AB12" s="40" t="s">
        <v>21</v>
      </c>
      <c r="AC12" s="40" t="s">
        <v>21</v>
      </c>
      <c r="AD12" s="41" t="s">
        <v>19</v>
      </c>
      <c r="AE12" s="41" t="s">
        <v>19</v>
      </c>
      <c r="AF12" s="41" t="s">
        <v>19</v>
      </c>
      <c r="AG12" s="41" t="s">
        <v>19</v>
      </c>
      <c r="AH12" s="86" t="s">
        <v>23</v>
      </c>
      <c r="AI12" s="35">
        <v>8</v>
      </c>
      <c r="AJ12" s="35">
        <f>SUM(COUNTIF(E12:AH12,{"R/D","R/N"}))</f>
      </c>
      <c r="AK12" s="35">
        <v>0</v>
      </c>
      <c r="AL12" s="35">
        <f>SUM(COUNTIF(AP52:BS52,{"R/D","R/N"}))</f>
      </c>
      <c r="AM12" s="1"/>
      <c r="AN12" s="75"/>
      <c r="AO12" s="76"/>
      <c r="AP12" s="77" t="s">
        <v>48</v>
      </c>
      <c r="AQ12" s="78"/>
      <c r="AR12" s="79"/>
    </row>
    <row x14ac:dyDescent="0.25" r="13" customHeight="1" ht="16.5">
      <c r="A13" s="1"/>
      <c r="B13" s="36"/>
      <c r="C13" s="87" t="s">
        <v>49</v>
      </c>
      <c r="D13" s="50">
        <v>21295</v>
      </c>
      <c r="E13" s="88" t="s">
        <v>20</v>
      </c>
      <c r="F13" s="53" t="s">
        <v>20</v>
      </c>
      <c r="G13" s="89" t="s">
        <v>24</v>
      </c>
      <c r="H13" s="89" t="s">
        <v>24</v>
      </c>
      <c r="I13" s="53" t="s">
        <v>20</v>
      </c>
      <c r="J13" s="52" t="s">
        <v>23</v>
      </c>
      <c r="K13" s="52" t="s">
        <v>23</v>
      </c>
      <c r="L13" s="52" t="s">
        <v>21</v>
      </c>
      <c r="M13" s="52" t="s">
        <v>21</v>
      </c>
      <c r="N13" s="54" t="s">
        <v>19</v>
      </c>
      <c r="O13" s="54" t="s">
        <v>19</v>
      </c>
      <c r="P13" s="55" t="s">
        <v>37</v>
      </c>
      <c r="Q13" s="54" t="s">
        <v>19</v>
      </c>
      <c r="R13" s="52" t="s">
        <v>23</v>
      </c>
      <c r="S13" s="52" t="s">
        <v>23</v>
      </c>
      <c r="T13" s="52" t="s">
        <v>21</v>
      </c>
      <c r="U13" s="52" t="s">
        <v>21</v>
      </c>
      <c r="V13" s="54" t="s">
        <v>19</v>
      </c>
      <c r="W13" s="54" t="s">
        <v>19</v>
      </c>
      <c r="X13" s="54" t="s">
        <v>19</v>
      </c>
      <c r="Y13" s="54" t="s">
        <v>19</v>
      </c>
      <c r="Z13" s="52" t="s">
        <v>23</v>
      </c>
      <c r="AA13" s="52" t="s">
        <v>23</v>
      </c>
      <c r="AB13" s="52" t="s">
        <v>21</v>
      </c>
      <c r="AC13" s="52" t="s">
        <v>21</v>
      </c>
      <c r="AD13" s="54" t="s">
        <v>19</v>
      </c>
      <c r="AE13" s="54" t="s">
        <v>19</v>
      </c>
      <c r="AF13" s="54" t="s">
        <v>19</v>
      </c>
      <c r="AG13" s="54" t="s">
        <v>19</v>
      </c>
      <c r="AH13" s="90" t="s">
        <v>23</v>
      </c>
      <c r="AI13" s="35">
        <v>6</v>
      </c>
      <c r="AJ13" s="35">
        <f>SUM(COUNTIF(E13:AH13,{"R/D","R/N"}))</f>
      </c>
      <c r="AK13" s="35">
        <v>0</v>
      </c>
      <c r="AL13" s="35">
        <f>SUM(COUNTIF(AP53:BS53,{"R/D","R/N"}))</f>
      </c>
      <c r="AM13" s="1"/>
      <c r="AN13" s="91"/>
      <c r="AO13" s="92"/>
      <c r="AP13" s="93" t="s">
        <v>50</v>
      </c>
      <c r="AQ13" s="94"/>
      <c r="AR13" s="79"/>
    </row>
    <row x14ac:dyDescent="0.25" r="14" customHeight="1" ht="18.75">
      <c r="A14" s="1"/>
      <c r="B14" s="25" t="s">
        <v>23</v>
      </c>
      <c r="C14" s="95" t="s">
        <v>51</v>
      </c>
      <c r="D14" s="27">
        <v>19573</v>
      </c>
      <c r="E14" s="96" t="s">
        <v>19</v>
      </c>
      <c r="F14" s="64" t="s">
        <v>19</v>
      </c>
      <c r="G14" s="64" t="s">
        <v>19</v>
      </c>
      <c r="H14" s="63" t="s">
        <v>23</v>
      </c>
      <c r="I14" s="63" t="s">
        <v>23</v>
      </c>
      <c r="J14" s="63" t="s">
        <v>21</v>
      </c>
      <c r="K14" s="63" t="s">
        <v>21</v>
      </c>
      <c r="L14" s="64" t="s">
        <v>19</v>
      </c>
      <c r="M14" s="64" t="s">
        <v>19</v>
      </c>
      <c r="N14" s="64" t="s">
        <v>19</v>
      </c>
      <c r="O14" s="64" t="s">
        <v>19</v>
      </c>
      <c r="P14" s="63" t="s">
        <v>23</v>
      </c>
      <c r="Q14" s="63" t="s">
        <v>23</v>
      </c>
      <c r="R14" s="63" t="s">
        <v>21</v>
      </c>
      <c r="S14" s="63" t="s">
        <v>21</v>
      </c>
      <c r="T14" s="64" t="s">
        <v>19</v>
      </c>
      <c r="U14" s="64" t="s">
        <v>19</v>
      </c>
      <c r="V14" s="64" t="s">
        <v>19</v>
      </c>
      <c r="W14" s="64" t="s">
        <v>19</v>
      </c>
      <c r="X14" s="63" t="s">
        <v>23</v>
      </c>
      <c r="Y14" s="63" t="s">
        <v>23</v>
      </c>
      <c r="Z14" s="63" t="s">
        <v>21</v>
      </c>
      <c r="AA14" s="63" t="s">
        <v>21</v>
      </c>
      <c r="AB14" s="64" t="s">
        <v>19</v>
      </c>
      <c r="AC14" s="64" t="s">
        <v>19</v>
      </c>
      <c r="AD14" s="64" t="s">
        <v>19</v>
      </c>
      <c r="AE14" s="64" t="s">
        <v>19</v>
      </c>
      <c r="AF14" s="63" t="s">
        <v>23</v>
      </c>
      <c r="AG14" s="63" t="s">
        <v>23</v>
      </c>
      <c r="AH14" s="82" t="s">
        <v>21</v>
      </c>
      <c r="AI14" s="35">
        <v>6</v>
      </c>
      <c r="AJ14" s="35">
        <f>SUM(COUNTIF(E14:AH14,{"R/D","R/N"}))</f>
      </c>
      <c r="AK14" s="35">
        <v>0</v>
      </c>
      <c r="AL14" s="35">
        <f>SUM(COUNTIF(AP54:BS54,{"R/D","R/N"}))</f>
      </c>
      <c r="AM14" s="1"/>
      <c r="AN14" s="67" t="s">
        <v>52</v>
      </c>
      <c r="AO14" s="68" t="s">
        <v>53</v>
      </c>
      <c r="AP14" s="69" t="s">
        <v>54</v>
      </c>
      <c r="AQ14" s="97">
        <v>45613</v>
      </c>
      <c r="AR14" s="98" t="s">
        <v>55</v>
      </c>
    </row>
    <row x14ac:dyDescent="0.25" r="15" customHeight="1" ht="18.75">
      <c r="A15" s="1"/>
      <c r="B15" s="36"/>
      <c r="C15" s="99" t="s">
        <v>56</v>
      </c>
      <c r="D15" s="100">
        <v>18383</v>
      </c>
      <c r="E15" s="39" t="s">
        <v>19</v>
      </c>
      <c r="F15" s="41" t="s">
        <v>19</v>
      </c>
      <c r="G15" s="41" t="s">
        <v>19</v>
      </c>
      <c r="H15" s="43" t="s">
        <v>20</v>
      </c>
      <c r="I15" s="43" t="s">
        <v>20</v>
      </c>
      <c r="J15" s="43" t="s">
        <v>20</v>
      </c>
      <c r="K15" s="43" t="s">
        <v>20</v>
      </c>
      <c r="L15" s="101" t="s">
        <v>24</v>
      </c>
      <c r="M15" s="101" t="s">
        <v>24</v>
      </c>
      <c r="N15" s="43" t="s">
        <v>20</v>
      </c>
      <c r="O15" s="43" t="s">
        <v>20</v>
      </c>
      <c r="P15" s="43" t="s">
        <v>20</v>
      </c>
      <c r="Q15" s="43" t="s">
        <v>20</v>
      </c>
      <c r="R15" s="43" t="s">
        <v>20</v>
      </c>
      <c r="S15" s="101" t="s">
        <v>24</v>
      </c>
      <c r="T15" s="101" t="s">
        <v>24</v>
      </c>
      <c r="U15" s="43" t="s">
        <v>20</v>
      </c>
      <c r="V15" s="43" t="s">
        <v>20</v>
      </c>
      <c r="W15" s="43" t="s">
        <v>20</v>
      </c>
      <c r="X15" s="43" t="s">
        <v>20</v>
      </c>
      <c r="Y15" s="43" t="s">
        <v>20</v>
      </c>
      <c r="Z15" s="101" t="s">
        <v>24</v>
      </c>
      <c r="AA15" s="101" t="s">
        <v>24</v>
      </c>
      <c r="AB15" s="43" t="s">
        <v>20</v>
      </c>
      <c r="AC15" s="43" t="s">
        <v>20</v>
      </c>
      <c r="AD15" s="43" t="s">
        <v>20</v>
      </c>
      <c r="AE15" s="43" t="s">
        <v>20</v>
      </c>
      <c r="AF15" s="40" t="s">
        <v>23</v>
      </c>
      <c r="AG15" s="40" t="s">
        <v>23</v>
      </c>
      <c r="AH15" s="86" t="s">
        <v>21</v>
      </c>
      <c r="AI15" s="35">
        <v>0</v>
      </c>
      <c r="AJ15" s="35">
        <f>SUM(COUNTIF(E15:AH15,{"R/D","R/N"}))</f>
      </c>
      <c r="AK15" s="35">
        <v>0</v>
      </c>
      <c r="AL15" s="35">
        <f>SUM(COUNTIF(AP55:BS55,{"R/D","R/N"}))</f>
      </c>
      <c r="AM15" s="1"/>
      <c r="AN15" s="102"/>
      <c r="AO15" s="103"/>
      <c r="AP15" s="104" t="s">
        <v>57</v>
      </c>
      <c r="AQ15" s="105">
        <v>45606</v>
      </c>
      <c r="AR15" s="106"/>
    </row>
    <row x14ac:dyDescent="0.25" r="16" customHeight="1" ht="18.75">
      <c r="A16" s="1"/>
      <c r="B16" s="72"/>
      <c r="C16" s="107" t="s">
        <v>58</v>
      </c>
      <c r="D16" s="108">
        <v>24132</v>
      </c>
      <c r="E16" s="39" t="s">
        <v>19</v>
      </c>
      <c r="F16" s="41" t="s">
        <v>19</v>
      </c>
      <c r="G16" s="41" t="s">
        <v>19</v>
      </c>
      <c r="H16" s="40" t="s">
        <v>23</v>
      </c>
      <c r="I16" s="40" t="s">
        <v>23</v>
      </c>
      <c r="J16" s="40" t="s">
        <v>21</v>
      </c>
      <c r="K16" s="40" t="s">
        <v>21</v>
      </c>
      <c r="L16" s="41" t="s">
        <v>19</v>
      </c>
      <c r="M16" s="41" t="s">
        <v>19</v>
      </c>
      <c r="N16" s="41" t="s">
        <v>19</v>
      </c>
      <c r="O16" s="41" t="s">
        <v>19</v>
      </c>
      <c r="P16" s="40" t="s">
        <v>23</v>
      </c>
      <c r="Q16" s="40" t="s">
        <v>23</v>
      </c>
      <c r="R16" s="40" t="s">
        <v>21</v>
      </c>
      <c r="S16" s="40" t="s">
        <v>21</v>
      </c>
      <c r="T16" s="41" t="s">
        <v>19</v>
      </c>
      <c r="U16" s="41" t="s">
        <v>19</v>
      </c>
      <c r="V16" s="41" t="s">
        <v>19</v>
      </c>
      <c r="W16" s="41" t="s">
        <v>19</v>
      </c>
      <c r="X16" s="40" t="s">
        <v>23</v>
      </c>
      <c r="Y16" s="40" t="s">
        <v>23</v>
      </c>
      <c r="Z16" s="40" t="s">
        <v>21</v>
      </c>
      <c r="AA16" s="40" t="s">
        <v>21</v>
      </c>
      <c r="AB16" s="41" t="s">
        <v>19</v>
      </c>
      <c r="AC16" s="41" t="s">
        <v>19</v>
      </c>
      <c r="AD16" s="41" t="s">
        <v>19</v>
      </c>
      <c r="AE16" s="41" t="s">
        <v>19</v>
      </c>
      <c r="AF16" s="40" t="s">
        <v>23</v>
      </c>
      <c r="AG16" s="40" t="s">
        <v>23</v>
      </c>
      <c r="AH16" s="86" t="s">
        <v>21</v>
      </c>
      <c r="AI16" s="35">
        <v>6</v>
      </c>
      <c r="AJ16" s="35">
        <f>SUM(COUNTIF(E16:AH16,{"R/D","R/N"}))</f>
      </c>
      <c r="AK16" s="35">
        <v>0</v>
      </c>
      <c r="AL16" s="35">
        <f>SUM(COUNTIF(AP56:BS56,{"R/D","R/N"}))</f>
      </c>
      <c r="AM16" s="1"/>
      <c r="AN16" s="102"/>
      <c r="AO16" s="103"/>
      <c r="AP16" s="104" t="s">
        <v>59</v>
      </c>
      <c r="AQ16" s="105">
        <v>45597</v>
      </c>
      <c r="AR16" s="106"/>
    </row>
    <row x14ac:dyDescent="0.25" r="17" customHeight="1" ht="18.75">
      <c r="A17" s="1"/>
      <c r="B17" s="109" t="s">
        <v>60</v>
      </c>
      <c r="C17" s="110" t="s">
        <v>61</v>
      </c>
      <c r="D17" s="111">
        <v>17997</v>
      </c>
      <c r="E17" s="112" t="s">
        <v>23</v>
      </c>
      <c r="F17" s="113" t="s">
        <v>21</v>
      </c>
      <c r="G17" s="113" t="s">
        <v>21</v>
      </c>
      <c r="H17" s="114" t="s">
        <v>19</v>
      </c>
      <c r="I17" s="115" t="s">
        <v>22</v>
      </c>
      <c r="J17" s="114" t="s">
        <v>19</v>
      </c>
      <c r="K17" s="114" t="s">
        <v>19</v>
      </c>
      <c r="L17" s="113" t="s">
        <v>23</v>
      </c>
      <c r="M17" s="113" t="s">
        <v>23</v>
      </c>
      <c r="N17" s="113" t="s">
        <v>23</v>
      </c>
      <c r="O17" s="113" t="s">
        <v>21</v>
      </c>
      <c r="P17" s="114" t="s">
        <v>19</v>
      </c>
      <c r="Q17" s="114" t="s">
        <v>19</v>
      </c>
      <c r="R17" s="115" t="s">
        <v>22</v>
      </c>
      <c r="S17" s="114" t="s">
        <v>19</v>
      </c>
      <c r="T17" s="113" t="s">
        <v>23</v>
      </c>
      <c r="U17" s="113" t="s">
        <v>23</v>
      </c>
      <c r="V17" s="113" t="s">
        <v>21</v>
      </c>
      <c r="W17" s="113" t="s">
        <v>21</v>
      </c>
      <c r="X17" s="114" t="s">
        <v>19</v>
      </c>
      <c r="Y17" s="114" t="s">
        <v>19</v>
      </c>
      <c r="Z17" s="115" t="s">
        <v>22</v>
      </c>
      <c r="AA17" s="114" t="s">
        <v>19</v>
      </c>
      <c r="AB17" s="113" t="s">
        <v>23</v>
      </c>
      <c r="AC17" s="113" t="s">
        <v>23</v>
      </c>
      <c r="AD17" s="113" t="s">
        <v>21</v>
      </c>
      <c r="AE17" s="113" t="s">
        <v>21</v>
      </c>
      <c r="AF17" s="114" t="s">
        <v>19</v>
      </c>
      <c r="AG17" s="114" t="s">
        <v>19</v>
      </c>
      <c r="AH17" s="116" t="s">
        <v>19</v>
      </c>
      <c r="AI17" s="35">
        <v>8</v>
      </c>
      <c r="AJ17" s="35">
        <f>SUM(COUNTIF(E17:AH17,{"R/D","R/N"}))</f>
      </c>
      <c r="AK17" s="35">
        <v>0</v>
      </c>
      <c r="AL17" s="35">
        <f>SUM(COUNTIF(AP57:BS57,{"R/D","R/N"}))</f>
      </c>
      <c r="AM17" s="1"/>
      <c r="AN17" s="102"/>
      <c r="AO17" s="103"/>
      <c r="AP17" s="104"/>
      <c r="AQ17" s="105"/>
      <c r="AR17" s="106"/>
    </row>
    <row x14ac:dyDescent="0.25" r="18" customHeight="1" ht="18.75">
      <c r="A18" s="1"/>
      <c r="B18" s="1"/>
      <c r="C18" s="1"/>
      <c r="D18" s="117" t="s">
        <v>23</v>
      </c>
      <c r="E18" s="118">
        <f>COUNTIF(E6:E17,"D")+COUNTIF(E6:E17,"R/D")</f>
      </c>
      <c r="F18" s="118">
        <f>COUNTIF(F6:F17,"D")+COUNTIF(F6:F17,"R/D")</f>
      </c>
      <c r="G18" s="118">
        <f>COUNTIF(G6:G17,"D")+COUNTIF(G6:G17,"R/D")</f>
      </c>
      <c r="H18" s="118">
        <f>COUNTIF(H6:H17,"D")+COUNTIF(H6:H17,"R/D")</f>
      </c>
      <c r="I18" s="118">
        <f>COUNTIF(I6:I17,"D")+COUNTIF(I6:I17,"R/D")</f>
      </c>
      <c r="J18" s="118">
        <f>COUNTIF(J6:J17,"D")+COUNTIF(J6:J17,"R/D")</f>
      </c>
      <c r="K18" s="118">
        <f>COUNTIF(K6:K17,"D")+COUNTIF(K6:K17,"R/D")</f>
      </c>
      <c r="L18" s="118">
        <f>COUNTIF(L6:L17,"D")+COUNTIF(L6:L17,"R/D")</f>
      </c>
      <c r="M18" s="118">
        <f>COUNTIF(M6:M17,"D")+COUNTIF(M6:M17,"R/D")</f>
      </c>
      <c r="N18" s="118">
        <f>COUNTIF(N6:N17,"D")+COUNTIF(N6:N17,"R/D")</f>
      </c>
      <c r="O18" s="118">
        <f>COUNTIF(O6:O17,"D")+COUNTIF(O6:O17,"R/D")</f>
      </c>
      <c r="P18" s="118">
        <f>COUNTIF(P6:P17,"D")+COUNTIF(P6:P17,"R/D")</f>
      </c>
      <c r="Q18" s="118">
        <f>COUNTIF(Q6:Q17,"D")+COUNTIF(Q6:Q17,"R/D")</f>
      </c>
      <c r="R18" s="118">
        <f>COUNTIF(R6:R17,"D")+COUNTIF(R6:R17,"R/D")</f>
      </c>
      <c r="S18" s="118">
        <f>COUNTIF(S6:S17,"D")+COUNTIF(S6:S17,"R/D")</f>
      </c>
      <c r="T18" s="118">
        <f>COUNTIF(T6:T17,"D")+COUNTIF(T6:T17,"R/D")</f>
      </c>
      <c r="U18" s="118">
        <f>COUNTIF(U6:U17,"D")+COUNTIF(U6:U17,"R/D")</f>
      </c>
      <c r="V18" s="118">
        <f>COUNTIF(V6:V17,"D")+COUNTIF(V6:V17,"R/D")</f>
      </c>
      <c r="W18" s="118">
        <f>COUNTIF(W6:W17,"D")+COUNTIF(W6:W17,"R/D")</f>
      </c>
      <c r="X18" s="118">
        <f>COUNTIF(X6:X17,"D")+COUNTIF(X6:X17,"R/D")</f>
      </c>
      <c r="Y18" s="118">
        <f>COUNTIF(Y6:Y17,"D")+COUNTIF(Y6:Y17,"R/D")</f>
      </c>
      <c r="Z18" s="118">
        <f>COUNTIF(Z6:Z17,"D")+COUNTIF(Z6:Z17,"R/D")</f>
      </c>
      <c r="AA18" s="118">
        <f>COUNTIF(AA6:AA17,"D")+COUNTIF(AA6:AA17,"R/D")</f>
      </c>
      <c r="AB18" s="118">
        <f>COUNTIF(AB6:AB17,"D")+COUNTIF(AB6:AB17,"R/D")</f>
      </c>
      <c r="AC18" s="118">
        <f>COUNTIF(AC6:AC17,"D")+COUNTIF(AC6:AC17,"R/D")</f>
      </c>
      <c r="AD18" s="118">
        <f>COUNTIF(AD6:AD17,"D")+COUNTIF(AD6:AD17,"R/D")</f>
      </c>
      <c r="AE18" s="118">
        <f>COUNTIF(AE6:AE17,"D")+COUNTIF(AE6:AE17,"R/D")</f>
      </c>
      <c r="AF18" s="118">
        <f>COUNTIF(AF6:AF17,"D")+COUNTIF(AF6:AF17,"R/D")</f>
      </c>
      <c r="AG18" s="118">
        <f>COUNTIF(AG6:AG17,"D")+COUNTIF(AG6:AG17,"R/D")</f>
      </c>
      <c r="AH18" s="118">
        <f>COUNTIF(AH6:AH17,"D")+COUNTIF(AH6:AH17,"R/D")</f>
      </c>
      <c r="AI18" s="119">
        <f>SUM(AI6:AI17)</f>
      </c>
      <c r="AJ18" s="119">
        <f>SUM(AJ6:AJ17)</f>
      </c>
      <c r="AK18" s="119"/>
      <c r="AL18" s="35">
        <f>SUM(COUNTIF(AP58:BS58,{"R/D","R/N"}))</f>
      </c>
      <c r="AM18" s="1"/>
      <c r="AN18" s="102"/>
      <c r="AO18" s="103"/>
      <c r="AP18" s="104"/>
      <c r="AQ18" s="105"/>
      <c r="AR18" s="106"/>
    </row>
    <row x14ac:dyDescent="0.25" r="19" customHeight="1" ht="18.75">
      <c r="A19" s="1"/>
      <c r="B19" s="1"/>
      <c r="C19" s="1"/>
      <c r="D19" s="120" t="s">
        <v>21</v>
      </c>
      <c r="E19" s="121">
        <f>COUNTIF(E6:E17,"N")+COUNTIF(E6:E17,"R/N")</f>
      </c>
      <c r="F19" s="121">
        <f>COUNTIF(F6:F17,"N")+COUNTIF(F6:F17,"R/N")</f>
      </c>
      <c r="G19" s="121">
        <f>COUNTIF(G6:G17,"N")+COUNTIF(G6:G17,"R/N")</f>
      </c>
      <c r="H19" s="121">
        <f>COUNTIF(H6:H17,"N")+COUNTIF(H6:H17,"R/N")</f>
      </c>
      <c r="I19" s="121">
        <f>COUNTIF(I6:I17,"N")+COUNTIF(I6:I17,"R/N")</f>
      </c>
      <c r="J19" s="121">
        <f>COUNTIF(J6:J17,"N")+COUNTIF(J6:J17,"R/N")</f>
      </c>
      <c r="K19" s="121">
        <f>COUNTIF(K6:K17,"N")+COUNTIF(K6:K17,"R/N")</f>
      </c>
      <c r="L19" s="121">
        <f>COUNTIF(L6:L17,"N")+COUNTIF(L6:L17,"R/N")</f>
      </c>
      <c r="M19" s="121">
        <f>COUNTIF(M6:M17,"N")+COUNTIF(M6:M17,"R/N")</f>
      </c>
      <c r="N19" s="121">
        <f>COUNTIF(N6:N17,"N")+COUNTIF(N6:N17,"R/N")</f>
      </c>
      <c r="O19" s="121">
        <f>COUNTIF(O6:O17,"N")+COUNTIF(O6:O17,"R/N")</f>
      </c>
      <c r="P19" s="121">
        <f>COUNTIF(P6:P17,"N")+COUNTIF(P6:P17,"R/N")</f>
      </c>
      <c r="Q19" s="121">
        <f>COUNTIF(Q6:Q17,"N")+COUNTIF(Q6:Q17,"R/N")</f>
      </c>
      <c r="R19" s="121">
        <f>COUNTIF(R6:R17,"N")+COUNTIF(R6:R17,"R/N")</f>
      </c>
      <c r="S19" s="121">
        <f>COUNTIF(S6:S17,"N")+COUNTIF(S6:S17,"R/N")</f>
      </c>
      <c r="T19" s="121">
        <f>COUNTIF(T6:T17,"N")+COUNTIF(T6:T17,"R/N")</f>
      </c>
      <c r="U19" s="121">
        <f>COUNTIF(U6:U17,"N")+COUNTIF(U6:U17,"R/N")</f>
      </c>
      <c r="V19" s="121">
        <f>COUNTIF(V6:V17,"N")+COUNTIF(V6:V17,"R/N")</f>
      </c>
      <c r="W19" s="121">
        <f>COUNTIF(W6:W17,"N")+COUNTIF(W6:W17,"R/N")</f>
      </c>
      <c r="X19" s="121">
        <f>COUNTIF(X6:X17,"N")+COUNTIF(X6:X17,"R/N")</f>
      </c>
      <c r="Y19" s="121">
        <f>COUNTIF(Y6:Y17,"N")+COUNTIF(Y6:Y17,"R/N")</f>
      </c>
      <c r="Z19" s="121">
        <f>COUNTIF(Z6:Z17,"N")+COUNTIF(Z6:Z17,"R/N")</f>
      </c>
      <c r="AA19" s="121">
        <f>COUNTIF(AA6:AA17,"N")+COUNTIF(AA6:AA17,"R/N")</f>
      </c>
      <c r="AB19" s="121">
        <f>COUNTIF(AB6:AB17,"N")+COUNTIF(AB6:AB17,"R/N")</f>
      </c>
      <c r="AC19" s="121">
        <f>COUNTIF(AC6:AC17,"N")+COUNTIF(AC6:AC17,"R/N")</f>
      </c>
      <c r="AD19" s="121">
        <f>COUNTIF(AD6:AD17,"N")+COUNTIF(AD6:AD17,"R/N")</f>
      </c>
      <c r="AE19" s="121">
        <f>COUNTIF(AE6:AE17,"N")+COUNTIF(AE6:AE17,"R/N")</f>
      </c>
      <c r="AF19" s="121">
        <f>COUNTIF(AF6:AF17,"N")+COUNTIF(AF6:AF17,"R/N")</f>
      </c>
      <c r="AG19" s="121">
        <f>COUNTIF(AG6:AG17,"N")+COUNTIF(AG6:AG17,"R/N")</f>
      </c>
      <c r="AH19" s="121">
        <f>COUNTIF(AH6:AH17,"N")+COUNTIF(AH6:AH17,"R/N")</f>
      </c>
      <c r="AI19" s="119"/>
      <c r="AJ19" s="119"/>
      <c r="AK19" s="119"/>
      <c r="AL19" s="119"/>
      <c r="AM19" s="1"/>
      <c r="AN19" s="122"/>
      <c r="AO19" s="123"/>
      <c r="AP19" s="124"/>
      <c r="AQ19" s="125"/>
      <c r="AR19" s="126"/>
    </row>
    <row x14ac:dyDescent="0.25" r="20" customHeight="1" ht="18.75">
      <c r="A20" s="1"/>
      <c r="B20" s="1"/>
      <c r="C20" s="1"/>
      <c r="D20" s="127" t="s">
        <v>19</v>
      </c>
      <c r="E20" s="121">
        <f>COUNTIF(E6:E17,"R")</f>
      </c>
      <c r="F20" s="121">
        <f>COUNTIF(F6:F17,"R")</f>
      </c>
      <c r="G20" s="121">
        <f>COUNTIF(G6:G17,"R")</f>
      </c>
      <c r="H20" s="121">
        <f>COUNTIF(H6:H17,"R")</f>
      </c>
      <c r="I20" s="121">
        <f>COUNTIF(I6:I17,"R")</f>
      </c>
      <c r="J20" s="121">
        <f>COUNTIF(J6:J17,"R")</f>
      </c>
      <c r="K20" s="121">
        <f>COUNTIF(K6:K17,"R")</f>
      </c>
      <c r="L20" s="121">
        <f>COUNTIF(L6:L17,"R")</f>
      </c>
      <c r="M20" s="121">
        <f>COUNTIF(M6:M17,"R")</f>
      </c>
      <c r="N20" s="121">
        <f>COUNTIF(N6:N17,"R")</f>
      </c>
      <c r="O20" s="121">
        <f>COUNTIF(O6:O17,"R")</f>
      </c>
      <c r="P20" s="121">
        <f>COUNTIF(P6:P17,"R")</f>
      </c>
      <c r="Q20" s="121">
        <f>COUNTIF(Q6:Q17,"R")</f>
      </c>
      <c r="R20" s="121">
        <f>COUNTIF(R6:R17,"R")</f>
      </c>
      <c r="S20" s="121">
        <f>COUNTIF(S6:S17,"R")</f>
      </c>
      <c r="T20" s="121">
        <f>COUNTIF(T6:T17,"R")</f>
      </c>
      <c r="U20" s="121">
        <f>COUNTIF(U6:U17,"R")</f>
      </c>
      <c r="V20" s="121">
        <f>COUNTIF(V6:V17,"R")</f>
      </c>
      <c r="W20" s="121">
        <f>COUNTIF(W6:W17,"R")</f>
      </c>
      <c r="X20" s="121">
        <f>COUNTIF(X6:X17,"R")</f>
      </c>
      <c r="Y20" s="121">
        <f>COUNTIF(Y6:Y17,"R")</f>
      </c>
      <c r="Z20" s="121">
        <f>COUNTIF(Z6:Z17,"R")</f>
      </c>
      <c r="AA20" s="121">
        <f>COUNTIF(AA6:AA17,"R")</f>
      </c>
      <c r="AB20" s="121">
        <f>COUNTIF(AB6:AB17,"R")</f>
      </c>
      <c r="AC20" s="121">
        <f>COUNTIF(AC6:AC17,"R")</f>
      </c>
      <c r="AD20" s="121">
        <f>COUNTIF(AD6:AD17,"R")</f>
      </c>
      <c r="AE20" s="121">
        <f>COUNTIF(AE6:AE17,"R")</f>
      </c>
      <c r="AF20" s="121">
        <f>COUNTIF(AF6:AF17,"R")</f>
      </c>
      <c r="AG20" s="121">
        <f>COUNTIF(AG6:AG17,"R")</f>
      </c>
      <c r="AH20" s="121">
        <f>COUNTIF(AH6:AH17,"R")</f>
      </c>
      <c r="AI20" s="119"/>
      <c r="AJ20" s="119">
        <f>AJ18*12</f>
      </c>
      <c r="AK20" s="119"/>
      <c r="AL20" s="119"/>
      <c r="AM20" s="1"/>
      <c r="AN20" s="128" t="s">
        <v>62</v>
      </c>
      <c r="AO20" s="129" t="s">
        <v>53</v>
      </c>
      <c r="AP20" s="130"/>
      <c r="AQ20" s="131"/>
      <c r="AR20" s="132"/>
    </row>
    <row x14ac:dyDescent="0.25" r="21" customHeight="1" ht="18.75">
      <c r="A21" s="1"/>
      <c r="B21" s="1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1"/>
      <c r="AN21" s="133"/>
      <c r="AO21" s="134"/>
      <c r="AP21" s="124"/>
      <c r="AQ21" s="125"/>
      <c r="AR21" s="135"/>
    </row>
    <row x14ac:dyDescent="0.25" r="22" customHeight="1" ht="18.75">
      <c r="A22" s="1"/>
      <c r="B22" s="4" t="s">
        <v>0</v>
      </c>
      <c r="C22" s="5"/>
      <c r="D22" s="6"/>
      <c r="E22" s="7" t="s">
        <v>63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9"/>
      <c r="AI22" s="10"/>
      <c r="AJ22" s="10"/>
      <c r="AK22" s="10"/>
      <c r="AL22" s="10"/>
      <c r="AM22" s="1"/>
      <c r="AN22" s="1"/>
      <c r="AO22" s="1"/>
      <c r="AP22" s="1"/>
      <c r="AQ22" s="3"/>
      <c r="AR22" s="1"/>
    </row>
    <row x14ac:dyDescent="0.25" r="23" customHeight="1" ht="18.75">
      <c r="A23" s="1"/>
      <c r="B23" s="11" t="s">
        <v>2</v>
      </c>
      <c r="C23" s="12"/>
      <c r="D23" s="13"/>
      <c r="E23" s="14" t="s">
        <v>3</v>
      </c>
      <c r="F23" s="15" t="s">
        <v>4</v>
      </c>
      <c r="G23" s="15" t="s">
        <v>5</v>
      </c>
      <c r="H23" s="15" t="s">
        <v>6</v>
      </c>
      <c r="I23" s="15" t="s">
        <v>7</v>
      </c>
      <c r="J23" s="15" t="s">
        <v>8</v>
      </c>
      <c r="K23" s="15" t="s">
        <v>9</v>
      </c>
      <c r="L23" s="15" t="s">
        <v>3</v>
      </c>
      <c r="M23" s="15" t="s">
        <v>4</v>
      </c>
      <c r="N23" s="15" t="s">
        <v>5</v>
      </c>
      <c r="O23" s="15" t="s">
        <v>6</v>
      </c>
      <c r="P23" s="15" t="s">
        <v>7</v>
      </c>
      <c r="Q23" s="15" t="s">
        <v>8</v>
      </c>
      <c r="R23" s="15" t="s">
        <v>9</v>
      </c>
      <c r="S23" s="15" t="s">
        <v>3</v>
      </c>
      <c r="T23" s="15" t="s">
        <v>4</v>
      </c>
      <c r="U23" s="15" t="s">
        <v>5</v>
      </c>
      <c r="V23" s="15" t="s">
        <v>6</v>
      </c>
      <c r="W23" s="15" t="s">
        <v>7</v>
      </c>
      <c r="X23" s="15" t="s">
        <v>8</v>
      </c>
      <c r="Y23" s="15" t="s">
        <v>9</v>
      </c>
      <c r="Z23" s="15" t="s">
        <v>3</v>
      </c>
      <c r="AA23" s="15" t="s">
        <v>4</v>
      </c>
      <c r="AB23" s="15" t="s">
        <v>5</v>
      </c>
      <c r="AC23" s="15" t="s">
        <v>6</v>
      </c>
      <c r="AD23" s="15" t="s">
        <v>7</v>
      </c>
      <c r="AE23" s="15" t="s">
        <v>8</v>
      </c>
      <c r="AF23" s="15" t="s">
        <v>9</v>
      </c>
      <c r="AG23" s="15" t="s">
        <v>3</v>
      </c>
      <c r="AH23" s="16" t="s">
        <v>4</v>
      </c>
      <c r="AI23" s="17"/>
      <c r="AJ23" s="17"/>
      <c r="AK23" s="17"/>
      <c r="AL23" s="17"/>
      <c r="AM23" s="1"/>
      <c r="AN23" s="1"/>
      <c r="AO23" s="1"/>
      <c r="AP23" s="1"/>
      <c r="AQ23" s="3"/>
      <c r="AR23" s="1"/>
    </row>
    <row x14ac:dyDescent="0.25" r="24" customHeight="1" ht="18.75">
      <c r="A24" s="1"/>
      <c r="B24" s="136" t="s">
        <v>10</v>
      </c>
      <c r="C24" s="137" t="s">
        <v>11</v>
      </c>
      <c r="D24" s="138" t="s">
        <v>12</v>
      </c>
      <c r="E24" s="21">
        <v>45597</v>
      </c>
      <c r="F24" s="22">
        <v>45598</v>
      </c>
      <c r="G24" s="22">
        <v>45599</v>
      </c>
      <c r="H24" s="22">
        <v>45600</v>
      </c>
      <c r="I24" s="22">
        <v>45601</v>
      </c>
      <c r="J24" s="22">
        <v>45602</v>
      </c>
      <c r="K24" s="22">
        <v>45603</v>
      </c>
      <c r="L24" s="22">
        <v>45604</v>
      </c>
      <c r="M24" s="22">
        <v>45605</v>
      </c>
      <c r="N24" s="22">
        <v>45606</v>
      </c>
      <c r="O24" s="22">
        <v>45607</v>
      </c>
      <c r="P24" s="22">
        <v>45608</v>
      </c>
      <c r="Q24" s="22">
        <v>45609</v>
      </c>
      <c r="R24" s="22">
        <v>45610</v>
      </c>
      <c r="S24" s="22">
        <v>45611</v>
      </c>
      <c r="T24" s="22">
        <v>45612</v>
      </c>
      <c r="U24" s="22">
        <v>45613</v>
      </c>
      <c r="V24" s="22">
        <v>45614</v>
      </c>
      <c r="W24" s="22">
        <v>45615</v>
      </c>
      <c r="X24" s="22">
        <v>45616</v>
      </c>
      <c r="Y24" s="22">
        <v>45617</v>
      </c>
      <c r="Z24" s="22">
        <v>45618</v>
      </c>
      <c r="AA24" s="22">
        <v>45619</v>
      </c>
      <c r="AB24" s="22">
        <v>45620</v>
      </c>
      <c r="AC24" s="22">
        <v>45621</v>
      </c>
      <c r="AD24" s="22">
        <v>45622</v>
      </c>
      <c r="AE24" s="22">
        <v>45623</v>
      </c>
      <c r="AF24" s="22">
        <v>45624</v>
      </c>
      <c r="AG24" s="22">
        <v>45625</v>
      </c>
      <c r="AH24" s="23">
        <v>45626</v>
      </c>
      <c r="AI24" s="24" t="s">
        <v>13</v>
      </c>
      <c r="AJ24" s="24" t="s">
        <v>14</v>
      </c>
      <c r="AK24" s="24" t="s">
        <v>15</v>
      </c>
      <c r="AL24" s="24" t="s">
        <v>16</v>
      </c>
      <c r="AM24" s="1"/>
      <c r="AN24" s="1"/>
      <c r="AO24" s="1"/>
      <c r="AP24" s="1"/>
      <c r="AQ24" s="3"/>
      <c r="AR24" s="1"/>
    </row>
    <row x14ac:dyDescent="0.25" r="25" customHeight="1" ht="18.75">
      <c r="A25" s="1"/>
      <c r="B25" s="139" t="s">
        <v>17</v>
      </c>
      <c r="C25" s="26" t="s">
        <v>64</v>
      </c>
      <c r="D25" s="38">
        <v>25751</v>
      </c>
      <c r="E25" s="39" t="s">
        <v>19</v>
      </c>
      <c r="F25" s="63" t="s">
        <v>23</v>
      </c>
      <c r="G25" s="63" t="s">
        <v>23</v>
      </c>
      <c r="H25" s="63" t="s">
        <v>21</v>
      </c>
      <c r="I25" s="63" t="s">
        <v>21</v>
      </c>
      <c r="J25" s="64" t="s">
        <v>19</v>
      </c>
      <c r="K25" s="65" t="s">
        <v>37</v>
      </c>
      <c r="L25" s="64" t="s">
        <v>19</v>
      </c>
      <c r="M25" s="64" t="s">
        <v>19</v>
      </c>
      <c r="N25" s="63" t="s">
        <v>23</v>
      </c>
      <c r="O25" s="63" t="s">
        <v>23</v>
      </c>
      <c r="P25" s="63" t="s">
        <v>21</v>
      </c>
      <c r="Q25" s="63" t="s">
        <v>21</v>
      </c>
      <c r="R25" s="64" t="s">
        <v>19</v>
      </c>
      <c r="S25" s="64" t="s">
        <v>19</v>
      </c>
      <c r="T25" s="64" t="s">
        <v>19</v>
      </c>
      <c r="U25" s="65" t="s">
        <v>37</v>
      </c>
      <c r="V25" s="63" t="s">
        <v>23</v>
      </c>
      <c r="W25" s="63" t="s">
        <v>23</v>
      </c>
      <c r="X25" s="63" t="s">
        <v>21</v>
      </c>
      <c r="Y25" s="63" t="s">
        <v>21</v>
      </c>
      <c r="Z25" s="64" t="s">
        <v>19</v>
      </c>
      <c r="AA25" s="64" t="s">
        <v>19</v>
      </c>
      <c r="AB25" s="140" t="s">
        <v>65</v>
      </c>
      <c r="AC25" s="140" t="s">
        <v>65</v>
      </c>
      <c r="AD25" s="63" t="s">
        <v>23</v>
      </c>
      <c r="AE25" s="63" t="s">
        <v>23</v>
      </c>
      <c r="AF25" s="63" t="s">
        <v>21</v>
      </c>
      <c r="AG25" s="63" t="s">
        <v>21</v>
      </c>
      <c r="AH25" s="66" t="s">
        <v>19</v>
      </c>
      <c r="AI25" s="35">
        <v>8</v>
      </c>
      <c r="AJ25" s="35">
        <f>SUM(COUNTIF(E25:AH25,{"R/D","R/N"}))</f>
      </c>
      <c r="AK25" s="35">
        <v>2</v>
      </c>
      <c r="AL25" s="35">
        <f>AI25+AJ25*12+AK25*8</f>
      </c>
      <c r="AM25" s="1"/>
      <c r="AN25" s="1"/>
      <c r="AO25" s="1"/>
      <c r="AP25" s="1"/>
      <c r="AQ25" s="3"/>
      <c r="AR25" s="1"/>
    </row>
    <row x14ac:dyDescent="0.25" r="26" customHeight="1" ht="18.75">
      <c r="A26" s="1"/>
      <c r="B26" s="36"/>
      <c r="C26" s="37" t="s">
        <v>66</v>
      </c>
      <c r="D26" s="38">
        <v>39325</v>
      </c>
      <c r="E26" s="141" t="s">
        <v>37</v>
      </c>
      <c r="F26" s="40" t="s">
        <v>23</v>
      </c>
      <c r="G26" s="40" t="s">
        <v>23</v>
      </c>
      <c r="H26" s="40" t="s">
        <v>21</v>
      </c>
      <c r="I26" s="40" t="s">
        <v>21</v>
      </c>
      <c r="J26" s="41" t="s">
        <v>19</v>
      </c>
      <c r="K26" s="41" t="s">
        <v>19</v>
      </c>
      <c r="L26" s="41" t="s">
        <v>19</v>
      </c>
      <c r="M26" s="41" t="s">
        <v>19</v>
      </c>
      <c r="N26" s="43" t="s">
        <v>20</v>
      </c>
      <c r="O26" s="43" t="s">
        <v>20</v>
      </c>
      <c r="P26" s="43" t="s">
        <v>20</v>
      </c>
      <c r="Q26" s="43" t="s">
        <v>20</v>
      </c>
      <c r="R26" s="43" t="s">
        <v>20</v>
      </c>
      <c r="S26" s="101" t="s">
        <v>24</v>
      </c>
      <c r="T26" s="101" t="s">
        <v>24</v>
      </c>
      <c r="U26" s="43" t="s">
        <v>20</v>
      </c>
      <c r="V26" s="40" t="s">
        <v>23</v>
      </c>
      <c r="W26" s="40" t="s">
        <v>23</v>
      </c>
      <c r="X26" s="40" t="s">
        <v>21</v>
      </c>
      <c r="Y26" s="40" t="s">
        <v>21</v>
      </c>
      <c r="Z26" s="41" t="s">
        <v>19</v>
      </c>
      <c r="AA26" s="85" t="s">
        <v>22</v>
      </c>
      <c r="AB26" s="41" t="s">
        <v>19</v>
      </c>
      <c r="AC26" s="41" t="s">
        <v>19</v>
      </c>
      <c r="AD26" s="40" t="s">
        <v>23</v>
      </c>
      <c r="AE26" s="40" t="s">
        <v>23</v>
      </c>
      <c r="AF26" s="40" t="s">
        <v>21</v>
      </c>
      <c r="AG26" s="40" t="s">
        <v>21</v>
      </c>
      <c r="AH26" s="142" t="s">
        <v>19</v>
      </c>
      <c r="AI26" s="35">
        <v>6</v>
      </c>
      <c r="AJ26" s="35">
        <f>SUM(COUNTIF(E26:AH26,{"R/D","R/N"}))</f>
      </c>
      <c r="AK26" s="35">
        <v>0</v>
      </c>
      <c r="AL26" s="35">
        <f>AI26+AJ26*12+AK26*8</f>
      </c>
      <c r="AM26" s="1"/>
      <c r="AN26" s="1"/>
      <c r="AO26" s="1"/>
      <c r="AP26" s="1"/>
      <c r="AQ26" s="3"/>
      <c r="AR26" s="1"/>
    </row>
    <row x14ac:dyDescent="0.25" r="27" customHeight="1" ht="18.75">
      <c r="A27" s="1"/>
      <c r="B27" s="36"/>
      <c r="C27" s="37" t="s">
        <v>67</v>
      </c>
      <c r="D27" s="38">
        <v>31787</v>
      </c>
      <c r="E27" s="39" t="s">
        <v>19</v>
      </c>
      <c r="F27" s="40" t="s">
        <v>23</v>
      </c>
      <c r="G27" s="40" t="s">
        <v>23</v>
      </c>
      <c r="H27" s="40" t="s">
        <v>21</v>
      </c>
      <c r="I27" s="40" t="s">
        <v>21</v>
      </c>
      <c r="J27" s="41" t="s">
        <v>19</v>
      </c>
      <c r="K27" s="41" t="s">
        <v>19</v>
      </c>
      <c r="L27" s="41" t="s">
        <v>19</v>
      </c>
      <c r="M27" s="41" t="s">
        <v>19</v>
      </c>
      <c r="N27" s="40" t="s">
        <v>23</v>
      </c>
      <c r="O27" s="40" t="s">
        <v>23</v>
      </c>
      <c r="P27" s="40" t="s">
        <v>21</v>
      </c>
      <c r="Q27" s="40" t="s">
        <v>21</v>
      </c>
      <c r="R27" s="41" t="s">
        <v>19</v>
      </c>
      <c r="S27" s="41" t="s">
        <v>19</v>
      </c>
      <c r="T27" s="41" t="s">
        <v>19</v>
      </c>
      <c r="U27" s="41" t="s">
        <v>19</v>
      </c>
      <c r="V27" s="40" t="s">
        <v>23</v>
      </c>
      <c r="W27" s="40" t="s">
        <v>23</v>
      </c>
      <c r="X27" s="40" t="s">
        <v>21</v>
      </c>
      <c r="Y27" s="40" t="s">
        <v>21</v>
      </c>
      <c r="Z27" s="41" t="s">
        <v>19</v>
      </c>
      <c r="AA27" s="41" t="s">
        <v>19</v>
      </c>
      <c r="AB27" s="85" t="s">
        <v>37</v>
      </c>
      <c r="AC27" s="85" t="s">
        <v>37</v>
      </c>
      <c r="AD27" s="40" t="s">
        <v>23</v>
      </c>
      <c r="AE27" s="40" t="s">
        <v>23</v>
      </c>
      <c r="AF27" s="40" t="s">
        <v>21</v>
      </c>
      <c r="AG27" s="40" t="s">
        <v>21</v>
      </c>
      <c r="AH27" s="142" t="s">
        <v>19</v>
      </c>
      <c r="AI27" s="35">
        <v>8</v>
      </c>
      <c r="AJ27" s="35">
        <f>SUM(COUNTIF(E27:AH27,{"R/D","R/N"}))</f>
      </c>
      <c r="AK27" s="35">
        <v>0</v>
      </c>
      <c r="AL27" s="35">
        <f>AI27+AJ27*12+AK27*8</f>
      </c>
      <c r="AM27" s="1"/>
      <c r="AN27" s="1"/>
      <c r="AO27" s="1"/>
      <c r="AP27" s="1"/>
      <c r="AQ27" s="3"/>
      <c r="AR27" s="1"/>
    </row>
    <row x14ac:dyDescent="0.25" r="28" customHeight="1" ht="18.75">
      <c r="A28" s="1"/>
      <c r="B28" s="72"/>
      <c r="C28" s="49" t="s">
        <v>68</v>
      </c>
      <c r="D28" s="108">
        <v>40125</v>
      </c>
      <c r="E28" s="143" t="s">
        <v>19</v>
      </c>
      <c r="F28" s="144" t="s">
        <v>20</v>
      </c>
      <c r="G28" s="144" t="s">
        <v>20</v>
      </c>
      <c r="H28" s="144" t="s">
        <v>20</v>
      </c>
      <c r="I28" s="144" t="s">
        <v>20</v>
      </c>
      <c r="J28" s="144" t="s">
        <v>20</v>
      </c>
      <c r="K28" s="145" t="s">
        <v>24</v>
      </c>
      <c r="L28" s="145" t="s">
        <v>24</v>
      </c>
      <c r="M28" s="144" t="s">
        <v>20</v>
      </c>
      <c r="N28" s="113" t="s">
        <v>23</v>
      </c>
      <c r="O28" s="113" t="s">
        <v>23</v>
      </c>
      <c r="P28" s="113" t="s">
        <v>21</v>
      </c>
      <c r="Q28" s="113" t="s">
        <v>21</v>
      </c>
      <c r="R28" s="114" t="s">
        <v>19</v>
      </c>
      <c r="S28" s="114" t="s">
        <v>19</v>
      </c>
      <c r="T28" s="115" t="s">
        <v>22</v>
      </c>
      <c r="U28" s="114" t="s">
        <v>19</v>
      </c>
      <c r="V28" s="113" t="s">
        <v>23</v>
      </c>
      <c r="W28" s="113" t="s">
        <v>23</v>
      </c>
      <c r="X28" s="113" t="s">
        <v>21</v>
      </c>
      <c r="Y28" s="113" t="s">
        <v>21</v>
      </c>
      <c r="Z28" s="114" t="s">
        <v>19</v>
      </c>
      <c r="AA28" s="114" t="s">
        <v>19</v>
      </c>
      <c r="AB28" s="115" t="s">
        <v>37</v>
      </c>
      <c r="AC28" s="115" t="s">
        <v>37</v>
      </c>
      <c r="AD28" s="113" t="s">
        <v>23</v>
      </c>
      <c r="AE28" s="113" t="s">
        <v>23</v>
      </c>
      <c r="AF28" s="113" t="s">
        <v>21</v>
      </c>
      <c r="AG28" s="113" t="s">
        <v>21</v>
      </c>
      <c r="AH28" s="116" t="s">
        <v>19</v>
      </c>
      <c r="AI28" s="35">
        <v>6</v>
      </c>
      <c r="AJ28" s="35">
        <f>SUM(COUNTIF(E28:AH28,{"R/D","R/N"}))</f>
      </c>
      <c r="AK28" s="35">
        <v>0</v>
      </c>
      <c r="AL28" s="35">
        <f>AI28+AJ28*12+AK28*8</f>
      </c>
      <c r="AM28" s="1"/>
      <c r="AN28" s="1"/>
      <c r="AO28" s="1"/>
      <c r="AP28" s="1"/>
      <c r="AQ28" s="3"/>
      <c r="AR28" s="1"/>
    </row>
    <row x14ac:dyDescent="0.25" r="29" customHeight="1" ht="18.75">
      <c r="A29" s="1"/>
      <c r="B29" s="25" t="s">
        <v>35</v>
      </c>
      <c r="C29" s="73" t="s">
        <v>69</v>
      </c>
      <c r="D29" s="38">
        <v>21189</v>
      </c>
      <c r="E29" s="81" t="s">
        <v>23</v>
      </c>
      <c r="F29" s="63" t="s">
        <v>21</v>
      </c>
      <c r="G29" s="63" t="s">
        <v>21</v>
      </c>
      <c r="H29" s="64" t="s">
        <v>19</v>
      </c>
      <c r="I29" s="64" t="s">
        <v>19</v>
      </c>
      <c r="J29" s="65" t="s">
        <v>37</v>
      </c>
      <c r="K29" s="64" t="s">
        <v>19</v>
      </c>
      <c r="L29" s="63" t="s">
        <v>23</v>
      </c>
      <c r="M29" s="63" t="s">
        <v>23</v>
      </c>
      <c r="N29" s="63" t="s">
        <v>21</v>
      </c>
      <c r="O29" s="63" t="s">
        <v>21</v>
      </c>
      <c r="P29" s="64" t="s">
        <v>19</v>
      </c>
      <c r="Q29" s="65" t="s">
        <v>22</v>
      </c>
      <c r="R29" s="64" t="s">
        <v>19</v>
      </c>
      <c r="S29" s="64" t="s">
        <v>19</v>
      </c>
      <c r="T29" s="63" t="s">
        <v>23</v>
      </c>
      <c r="U29" s="63" t="s">
        <v>23</v>
      </c>
      <c r="V29" s="63" t="s">
        <v>21</v>
      </c>
      <c r="W29" s="63" t="s">
        <v>21</v>
      </c>
      <c r="X29" s="64" t="s">
        <v>19</v>
      </c>
      <c r="Y29" s="64" t="s">
        <v>19</v>
      </c>
      <c r="Z29" s="65" t="s">
        <v>37</v>
      </c>
      <c r="AA29" s="64" t="s">
        <v>19</v>
      </c>
      <c r="AB29" s="140" t="s">
        <v>29</v>
      </c>
      <c r="AC29" s="140" t="s">
        <v>29</v>
      </c>
      <c r="AD29" s="63" t="s">
        <v>21</v>
      </c>
      <c r="AE29" s="63" t="s">
        <v>21</v>
      </c>
      <c r="AF29" s="64" t="s">
        <v>19</v>
      </c>
      <c r="AG29" s="64" t="s">
        <v>19</v>
      </c>
      <c r="AH29" s="66" t="s">
        <v>19</v>
      </c>
      <c r="AI29" s="35">
        <v>8</v>
      </c>
      <c r="AJ29" s="35">
        <f>SUM(COUNTIF(E29:AH29,{"R/D","R/N"}))</f>
      </c>
      <c r="AK29" s="35">
        <v>0</v>
      </c>
      <c r="AL29" s="35">
        <f>AI29+AJ29*12+AK29*8</f>
      </c>
      <c r="AM29" s="1"/>
      <c r="AN29" s="1"/>
      <c r="AO29" s="1"/>
      <c r="AP29" s="1"/>
      <c r="AQ29" s="3"/>
      <c r="AR29" s="1"/>
    </row>
    <row x14ac:dyDescent="0.25" r="30" customHeight="1" ht="18.75">
      <c r="A30" s="1"/>
      <c r="B30" s="36"/>
      <c r="C30" s="73" t="s">
        <v>70</v>
      </c>
      <c r="D30" s="50">
        <v>37837</v>
      </c>
      <c r="E30" s="146" t="s">
        <v>20</v>
      </c>
      <c r="F30" s="43" t="s">
        <v>20</v>
      </c>
      <c r="G30" s="43" t="s">
        <v>20</v>
      </c>
      <c r="H30" s="101" t="s">
        <v>24</v>
      </c>
      <c r="I30" s="101" t="s">
        <v>24</v>
      </c>
      <c r="J30" s="43" t="s">
        <v>20</v>
      </c>
      <c r="K30" s="43" t="s">
        <v>20</v>
      </c>
      <c r="L30" s="40" t="s">
        <v>23</v>
      </c>
      <c r="M30" s="40" t="s">
        <v>23</v>
      </c>
      <c r="N30" s="40" t="s">
        <v>21</v>
      </c>
      <c r="O30" s="40" t="s">
        <v>21</v>
      </c>
      <c r="P30" s="85" t="s">
        <v>22</v>
      </c>
      <c r="Q30" s="41" t="s">
        <v>19</v>
      </c>
      <c r="R30" s="41" t="s">
        <v>19</v>
      </c>
      <c r="S30" s="41" t="s">
        <v>19</v>
      </c>
      <c r="T30" s="40" t="s">
        <v>23</v>
      </c>
      <c r="U30" s="40" t="s">
        <v>23</v>
      </c>
      <c r="V30" s="40" t="s">
        <v>21</v>
      </c>
      <c r="W30" s="40" t="s">
        <v>21</v>
      </c>
      <c r="X30" s="41" t="s">
        <v>19</v>
      </c>
      <c r="Y30" s="41" t="s">
        <v>19</v>
      </c>
      <c r="Z30" s="41" t="s">
        <v>19</v>
      </c>
      <c r="AA30" s="85" t="s">
        <v>37</v>
      </c>
      <c r="AB30" s="40" t="s">
        <v>23</v>
      </c>
      <c r="AC30" s="40" t="s">
        <v>23</v>
      </c>
      <c r="AD30" s="40" t="s">
        <v>21</v>
      </c>
      <c r="AE30" s="40" t="s">
        <v>21</v>
      </c>
      <c r="AF30" s="41" t="s">
        <v>19</v>
      </c>
      <c r="AG30" s="41" t="s">
        <v>19</v>
      </c>
      <c r="AH30" s="147" t="s">
        <v>37</v>
      </c>
      <c r="AI30" s="35">
        <v>6</v>
      </c>
      <c r="AJ30" s="35">
        <f>SUM(COUNTIF(E30:AH30,{"R/D","R/N"}))</f>
      </c>
      <c r="AK30" s="35">
        <v>0</v>
      </c>
      <c r="AL30" s="35">
        <f>AI30+AJ30*12+AK30*8</f>
      </c>
      <c r="AM30" s="1"/>
      <c r="AN30" s="1"/>
      <c r="AO30" s="1"/>
      <c r="AP30" s="1"/>
      <c r="AQ30" s="3"/>
      <c r="AR30" s="1"/>
    </row>
    <row x14ac:dyDescent="0.25" r="31" customHeight="1" ht="18.75">
      <c r="A31" s="1"/>
      <c r="B31" s="36"/>
      <c r="C31" s="148" t="s">
        <v>71</v>
      </c>
      <c r="D31" s="38">
        <v>19241</v>
      </c>
      <c r="E31" s="84" t="s">
        <v>23</v>
      </c>
      <c r="F31" s="40" t="s">
        <v>21</v>
      </c>
      <c r="G31" s="40" t="s">
        <v>21</v>
      </c>
      <c r="H31" s="85" t="s">
        <v>22</v>
      </c>
      <c r="I31" s="41" t="s">
        <v>19</v>
      </c>
      <c r="J31" s="41" t="s">
        <v>19</v>
      </c>
      <c r="K31" s="41" t="s">
        <v>19</v>
      </c>
      <c r="L31" s="40" t="s">
        <v>23</v>
      </c>
      <c r="M31" s="40" t="s">
        <v>23</v>
      </c>
      <c r="N31" s="40" t="s">
        <v>21</v>
      </c>
      <c r="O31" s="40" t="s">
        <v>21</v>
      </c>
      <c r="P31" s="41" t="s">
        <v>19</v>
      </c>
      <c r="Q31" s="41" t="s">
        <v>19</v>
      </c>
      <c r="R31" s="85" t="s">
        <v>37</v>
      </c>
      <c r="S31" s="41" t="s">
        <v>19</v>
      </c>
      <c r="T31" s="40" t="s">
        <v>23</v>
      </c>
      <c r="U31" s="43" t="s">
        <v>20</v>
      </c>
      <c r="V31" s="43" t="s">
        <v>20</v>
      </c>
      <c r="W31" s="40" t="s">
        <v>21</v>
      </c>
      <c r="X31" s="41" t="s">
        <v>19</v>
      </c>
      <c r="Y31" s="41" t="s">
        <v>19</v>
      </c>
      <c r="Z31" s="85" t="s">
        <v>22</v>
      </c>
      <c r="AA31" s="41" t="s">
        <v>19</v>
      </c>
      <c r="AB31" s="40" t="s">
        <v>23</v>
      </c>
      <c r="AC31" s="40" t="s">
        <v>23</v>
      </c>
      <c r="AD31" s="40" t="s">
        <v>21</v>
      </c>
      <c r="AE31" s="40" t="s">
        <v>21</v>
      </c>
      <c r="AF31" s="41" t="s">
        <v>19</v>
      </c>
      <c r="AG31" s="41" t="s">
        <v>19</v>
      </c>
      <c r="AH31" s="142" t="s">
        <v>19</v>
      </c>
      <c r="AI31" s="35">
        <v>8</v>
      </c>
      <c r="AJ31" s="35">
        <f>SUM(COUNTIF(E31:AH31,{"R/D","R/N"}))</f>
      </c>
      <c r="AK31" s="35">
        <v>0</v>
      </c>
      <c r="AL31" s="35">
        <f>AI31+AJ31*12+AK31*8</f>
      </c>
      <c r="AM31" s="1"/>
      <c r="AN31" s="1"/>
      <c r="AO31" s="1"/>
      <c r="AP31" s="1"/>
      <c r="AQ31" s="3"/>
      <c r="AR31" s="1"/>
    </row>
    <row x14ac:dyDescent="0.25" r="32" customHeight="1" ht="18.75">
      <c r="A32" s="1"/>
      <c r="B32" s="72"/>
      <c r="C32" s="149" t="s">
        <v>72</v>
      </c>
      <c r="D32" s="108">
        <v>18054</v>
      </c>
      <c r="E32" s="112" t="s">
        <v>23</v>
      </c>
      <c r="F32" s="113" t="s">
        <v>21</v>
      </c>
      <c r="G32" s="113" t="s">
        <v>21</v>
      </c>
      <c r="H32" s="114" t="s">
        <v>19</v>
      </c>
      <c r="I32" s="115" t="s">
        <v>22</v>
      </c>
      <c r="J32" s="114" t="s">
        <v>19</v>
      </c>
      <c r="K32" s="114" t="s">
        <v>19</v>
      </c>
      <c r="L32" s="113" t="s">
        <v>23</v>
      </c>
      <c r="M32" s="113" t="s">
        <v>23</v>
      </c>
      <c r="N32" s="113" t="s">
        <v>21</v>
      </c>
      <c r="O32" s="113" t="s">
        <v>21</v>
      </c>
      <c r="P32" s="114" t="s">
        <v>19</v>
      </c>
      <c r="Q32" s="114" t="s">
        <v>19</v>
      </c>
      <c r="R32" s="114" t="s">
        <v>19</v>
      </c>
      <c r="S32" s="115" t="s">
        <v>37</v>
      </c>
      <c r="T32" s="113" t="s">
        <v>23</v>
      </c>
      <c r="U32" s="113" t="s">
        <v>23</v>
      </c>
      <c r="V32" s="113" t="s">
        <v>21</v>
      </c>
      <c r="W32" s="113" t="s">
        <v>21</v>
      </c>
      <c r="X32" s="114" t="s">
        <v>19</v>
      </c>
      <c r="Y32" s="114" t="s">
        <v>19</v>
      </c>
      <c r="Z32" s="114" t="s">
        <v>19</v>
      </c>
      <c r="AA32" s="114" t="s">
        <v>19</v>
      </c>
      <c r="AB32" s="150" t="s">
        <v>29</v>
      </c>
      <c r="AC32" s="150" t="s">
        <v>29</v>
      </c>
      <c r="AD32" s="113" t="s">
        <v>21</v>
      </c>
      <c r="AE32" s="113" t="s">
        <v>21</v>
      </c>
      <c r="AF32" s="114" t="s">
        <v>19</v>
      </c>
      <c r="AG32" s="114" t="s">
        <v>19</v>
      </c>
      <c r="AH32" s="116" t="s">
        <v>19</v>
      </c>
      <c r="AI32" s="35">
        <v>8</v>
      </c>
      <c r="AJ32" s="35">
        <f>SUM(COUNTIF(E32:AH32,{"R/D","R/N"}))</f>
      </c>
      <c r="AK32" s="35">
        <v>0</v>
      </c>
      <c r="AL32" s="35">
        <f>AI32+AJ32*12+AK32*8</f>
      </c>
      <c r="AM32" s="1"/>
      <c r="AN32" s="1"/>
      <c r="AO32" s="1"/>
      <c r="AP32" s="1"/>
      <c r="AQ32" s="3"/>
      <c r="AR32" s="1"/>
    </row>
    <row x14ac:dyDescent="0.25" r="33" customHeight="1" ht="18.75">
      <c r="A33" s="1"/>
      <c r="B33" s="151" t="s">
        <v>44</v>
      </c>
      <c r="C33" s="152" t="s">
        <v>73</v>
      </c>
      <c r="D33" s="38">
        <v>17978</v>
      </c>
      <c r="E33" s="81" t="s">
        <v>21</v>
      </c>
      <c r="F33" s="64" t="s">
        <v>19</v>
      </c>
      <c r="G33" s="65" t="s">
        <v>37</v>
      </c>
      <c r="H33" s="64" t="s">
        <v>19</v>
      </c>
      <c r="I33" s="64" t="s">
        <v>19</v>
      </c>
      <c r="J33" s="63" t="s">
        <v>23</v>
      </c>
      <c r="K33" s="63" t="s">
        <v>23</v>
      </c>
      <c r="L33" s="63" t="s">
        <v>21</v>
      </c>
      <c r="M33" s="63" t="s">
        <v>21</v>
      </c>
      <c r="N33" s="64" t="s">
        <v>19</v>
      </c>
      <c r="O33" s="64" t="s">
        <v>19</v>
      </c>
      <c r="P33" s="64" t="s">
        <v>19</v>
      </c>
      <c r="Q33" s="64" t="s">
        <v>19</v>
      </c>
      <c r="R33" s="63" t="s">
        <v>23</v>
      </c>
      <c r="S33" s="63" t="s">
        <v>23</v>
      </c>
      <c r="T33" s="63" t="s">
        <v>21</v>
      </c>
      <c r="U33" s="63" t="s">
        <v>21</v>
      </c>
      <c r="V33" s="64" t="s">
        <v>19</v>
      </c>
      <c r="W33" s="64" t="s">
        <v>19</v>
      </c>
      <c r="X33" s="64" t="s">
        <v>19</v>
      </c>
      <c r="Y33" s="65" t="s">
        <v>37</v>
      </c>
      <c r="Z33" s="63" t="s">
        <v>23</v>
      </c>
      <c r="AA33" s="63" t="s">
        <v>23</v>
      </c>
      <c r="AB33" s="63" t="s">
        <v>21</v>
      </c>
      <c r="AC33" s="63" t="s">
        <v>21</v>
      </c>
      <c r="AD33" s="64" t="s">
        <v>19</v>
      </c>
      <c r="AE33" s="64" t="s">
        <v>19</v>
      </c>
      <c r="AF33" s="64" t="s">
        <v>19</v>
      </c>
      <c r="AG33" s="64" t="s">
        <v>19</v>
      </c>
      <c r="AH33" s="82" t="s">
        <v>23</v>
      </c>
      <c r="AI33" s="35">
        <v>8</v>
      </c>
      <c r="AJ33" s="35">
        <f>SUM(COUNTIF(E33:AH33,{"R/D","R/N"}))</f>
      </c>
      <c r="AK33" s="35">
        <v>0</v>
      </c>
      <c r="AL33" s="35">
        <f>AI33+AJ33*12+AK33*8</f>
      </c>
      <c r="AM33" s="1"/>
      <c r="AN33" s="1"/>
      <c r="AO33" s="1"/>
      <c r="AP33" s="1"/>
      <c r="AQ33" s="3"/>
      <c r="AR33" s="1"/>
    </row>
    <row x14ac:dyDescent="0.25" r="34" customHeight="1" ht="18.75">
      <c r="A34" s="1"/>
      <c r="B34" s="36"/>
      <c r="C34" s="152" t="s">
        <v>74</v>
      </c>
      <c r="D34" s="38">
        <v>18401</v>
      </c>
      <c r="E34" s="146" t="s">
        <v>20</v>
      </c>
      <c r="F34" s="43" t="s">
        <v>20</v>
      </c>
      <c r="G34" s="101" t="s">
        <v>24</v>
      </c>
      <c r="H34" s="101" t="s">
        <v>24</v>
      </c>
      <c r="I34" s="43" t="s">
        <v>20</v>
      </c>
      <c r="J34" s="43" t="s">
        <v>20</v>
      </c>
      <c r="K34" s="43" t="s">
        <v>20</v>
      </c>
      <c r="L34" s="43" t="s">
        <v>20</v>
      </c>
      <c r="M34" s="43" t="s">
        <v>20</v>
      </c>
      <c r="N34" s="43" t="s">
        <v>20</v>
      </c>
      <c r="O34" s="101" t="s">
        <v>24</v>
      </c>
      <c r="P34" s="101" t="s">
        <v>24</v>
      </c>
      <c r="Q34" s="43" t="s">
        <v>20</v>
      </c>
      <c r="R34" s="40" t="s">
        <v>23</v>
      </c>
      <c r="S34" s="40" t="s">
        <v>23</v>
      </c>
      <c r="T34" s="40" t="s">
        <v>21</v>
      </c>
      <c r="U34" s="40" t="s">
        <v>21</v>
      </c>
      <c r="V34" s="41" t="s">
        <v>19</v>
      </c>
      <c r="W34" s="41" t="s">
        <v>19</v>
      </c>
      <c r="X34" s="85" t="s">
        <v>37</v>
      </c>
      <c r="Y34" s="41" t="s">
        <v>19</v>
      </c>
      <c r="Z34" s="40" t="s">
        <v>23</v>
      </c>
      <c r="AA34" s="40" t="s">
        <v>23</v>
      </c>
      <c r="AB34" s="40" t="s">
        <v>21</v>
      </c>
      <c r="AC34" s="40" t="s">
        <v>21</v>
      </c>
      <c r="AD34" s="41" t="s">
        <v>19</v>
      </c>
      <c r="AE34" s="41" t="s">
        <v>19</v>
      </c>
      <c r="AF34" s="41" t="s">
        <v>19</v>
      </c>
      <c r="AG34" s="41" t="s">
        <v>19</v>
      </c>
      <c r="AH34" s="86" t="s">
        <v>23</v>
      </c>
      <c r="AI34" s="35">
        <v>4</v>
      </c>
      <c r="AJ34" s="35">
        <f>SUM(COUNTIF(E34:AH34,{"R/D","R/N"}))</f>
      </c>
      <c r="AK34" s="35">
        <v>0</v>
      </c>
      <c r="AL34" s="35">
        <f>AI34+AJ34*12+AK34*8</f>
      </c>
      <c r="AM34" s="1"/>
      <c r="AN34" s="1"/>
      <c r="AO34" s="1"/>
      <c r="AP34" s="1"/>
      <c r="AQ34" s="3"/>
      <c r="AR34" s="1"/>
    </row>
    <row x14ac:dyDescent="0.25" r="35" customHeight="1" ht="18.75">
      <c r="A35" s="1"/>
      <c r="B35" s="36"/>
      <c r="C35" s="83" t="s">
        <v>75</v>
      </c>
      <c r="D35" s="50">
        <v>39305</v>
      </c>
      <c r="E35" s="84" t="s">
        <v>21</v>
      </c>
      <c r="F35" s="41" t="s">
        <v>19</v>
      </c>
      <c r="G35" s="41" t="s">
        <v>19</v>
      </c>
      <c r="H35" s="41" t="s">
        <v>19</v>
      </c>
      <c r="I35" s="41" t="s">
        <v>19</v>
      </c>
      <c r="J35" s="40" t="s">
        <v>23</v>
      </c>
      <c r="K35" s="40" t="s">
        <v>23</v>
      </c>
      <c r="L35" s="40" t="s">
        <v>21</v>
      </c>
      <c r="M35" s="40" t="s">
        <v>21</v>
      </c>
      <c r="N35" s="41" t="s">
        <v>19</v>
      </c>
      <c r="O35" s="85" t="s">
        <v>37</v>
      </c>
      <c r="P35" s="41" t="s">
        <v>19</v>
      </c>
      <c r="Q35" s="41" t="s">
        <v>19</v>
      </c>
      <c r="R35" s="40" t="s">
        <v>23</v>
      </c>
      <c r="S35" s="40" t="s">
        <v>23</v>
      </c>
      <c r="T35" s="40" t="s">
        <v>21</v>
      </c>
      <c r="U35" s="40" t="s">
        <v>21</v>
      </c>
      <c r="V35" s="85" t="s">
        <v>22</v>
      </c>
      <c r="W35" s="41" t="s">
        <v>19</v>
      </c>
      <c r="X35" s="41" t="s">
        <v>19</v>
      </c>
      <c r="Y35" s="41" t="s">
        <v>19</v>
      </c>
      <c r="Z35" s="40" t="s">
        <v>23</v>
      </c>
      <c r="AA35" s="40" t="s">
        <v>23</v>
      </c>
      <c r="AB35" s="153" t="s">
        <v>29</v>
      </c>
      <c r="AC35" s="153" t="s">
        <v>29</v>
      </c>
      <c r="AD35" s="41" t="s">
        <v>19</v>
      </c>
      <c r="AE35" s="41" t="s">
        <v>19</v>
      </c>
      <c r="AF35" s="41" t="s">
        <v>19</v>
      </c>
      <c r="AG35" s="41" t="s">
        <v>19</v>
      </c>
      <c r="AH35" s="86" t="s">
        <v>23</v>
      </c>
      <c r="AI35" s="35">
        <v>8</v>
      </c>
      <c r="AJ35" s="35">
        <f>SUM(COUNTIF(E35:AH35,{"R/D","R/N"}))</f>
      </c>
      <c r="AK35" s="35">
        <v>0</v>
      </c>
      <c r="AL35" s="35">
        <f>AI35+AJ35*12+AK35*8</f>
      </c>
      <c r="AM35" s="1"/>
      <c r="AN35" s="1"/>
      <c r="AO35" s="1"/>
      <c r="AP35" s="1"/>
      <c r="AQ35" s="3"/>
      <c r="AR35" s="1"/>
    </row>
    <row x14ac:dyDescent="0.25" r="36" customHeight="1" ht="18.75">
      <c r="A36" s="1"/>
      <c r="B36" s="36"/>
      <c r="C36" s="83" t="s">
        <v>76</v>
      </c>
      <c r="D36" s="50">
        <v>39057</v>
      </c>
      <c r="E36" s="84" t="s">
        <v>21</v>
      </c>
      <c r="F36" s="41" t="s">
        <v>19</v>
      </c>
      <c r="G36" s="85" t="s">
        <v>22</v>
      </c>
      <c r="H36" s="41" t="s">
        <v>19</v>
      </c>
      <c r="I36" s="41" t="s">
        <v>19</v>
      </c>
      <c r="J36" s="40" t="s">
        <v>23</v>
      </c>
      <c r="K36" s="40" t="s">
        <v>23</v>
      </c>
      <c r="L36" s="40" t="s">
        <v>21</v>
      </c>
      <c r="M36" s="40" t="s">
        <v>21</v>
      </c>
      <c r="N36" s="41" t="s">
        <v>19</v>
      </c>
      <c r="O36" s="41" t="s">
        <v>19</v>
      </c>
      <c r="P36" s="41" t="s">
        <v>19</v>
      </c>
      <c r="Q36" s="41" t="s">
        <v>19</v>
      </c>
      <c r="R36" s="43" t="s">
        <v>20</v>
      </c>
      <c r="S36" s="43" t="s">
        <v>20</v>
      </c>
      <c r="T36" s="43" t="s">
        <v>20</v>
      </c>
      <c r="U36" s="43" t="s">
        <v>20</v>
      </c>
      <c r="V36" s="43" t="s">
        <v>20</v>
      </c>
      <c r="W36" s="101" t="s">
        <v>24</v>
      </c>
      <c r="X36" s="101" t="s">
        <v>24</v>
      </c>
      <c r="Y36" s="43" t="s">
        <v>20</v>
      </c>
      <c r="Z36" s="43" t="s">
        <v>20</v>
      </c>
      <c r="AA36" s="43" t="s">
        <v>20</v>
      </c>
      <c r="AB36" s="43" t="s">
        <v>20</v>
      </c>
      <c r="AC36" s="43" t="s">
        <v>20</v>
      </c>
      <c r="AD36" s="101" t="s">
        <v>24</v>
      </c>
      <c r="AE36" s="101" t="s">
        <v>24</v>
      </c>
      <c r="AF36" s="43" t="s">
        <v>20</v>
      </c>
      <c r="AG36" s="43" t="s">
        <v>20</v>
      </c>
      <c r="AH36" s="44" t="s">
        <v>20</v>
      </c>
      <c r="AI36" s="35">
        <v>4</v>
      </c>
      <c r="AJ36" s="35">
        <f>SUM(COUNTIF(E36:AH36,{"R/D","R/N"}))</f>
      </c>
      <c r="AK36" s="35">
        <v>0</v>
      </c>
      <c r="AL36" s="35">
        <f>AI36+AJ36*12+AK36*8</f>
      </c>
      <c r="AM36" s="1"/>
      <c r="AN36" s="1"/>
      <c r="AO36" s="1"/>
      <c r="AP36" s="1"/>
      <c r="AQ36" s="3"/>
      <c r="AR36" s="1"/>
    </row>
    <row x14ac:dyDescent="0.25" r="37" customHeight="1" ht="18.75">
      <c r="A37" s="1"/>
      <c r="B37" s="72"/>
      <c r="C37" s="154" t="s">
        <v>77</v>
      </c>
      <c r="D37" s="155">
        <v>41340</v>
      </c>
      <c r="E37" s="112" t="s">
        <v>78</v>
      </c>
      <c r="F37" s="114" t="s">
        <v>19</v>
      </c>
      <c r="G37" s="114" t="s">
        <v>19</v>
      </c>
      <c r="H37" s="114" t="s">
        <v>19</v>
      </c>
      <c r="I37" s="114" t="s">
        <v>19</v>
      </c>
      <c r="J37" s="113" t="s">
        <v>79</v>
      </c>
      <c r="K37" s="113" t="s">
        <v>79</v>
      </c>
      <c r="L37" s="113" t="s">
        <v>78</v>
      </c>
      <c r="M37" s="113" t="s">
        <v>78</v>
      </c>
      <c r="N37" s="114" t="s">
        <v>19</v>
      </c>
      <c r="O37" s="114" t="s">
        <v>19</v>
      </c>
      <c r="P37" s="114" t="s">
        <v>19</v>
      </c>
      <c r="Q37" s="114" t="s">
        <v>19</v>
      </c>
      <c r="R37" s="113" t="s">
        <v>79</v>
      </c>
      <c r="S37" s="113" t="s">
        <v>79</v>
      </c>
      <c r="T37" s="113" t="s">
        <v>78</v>
      </c>
      <c r="U37" s="113" t="s">
        <v>78</v>
      </c>
      <c r="V37" s="114" t="s">
        <v>19</v>
      </c>
      <c r="W37" s="114" t="s">
        <v>19</v>
      </c>
      <c r="X37" s="114" t="s">
        <v>19</v>
      </c>
      <c r="Y37" s="114" t="s">
        <v>19</v>
      </c>
      <c r="Z37" s="113" t="s">
        <v>79</v>
      </c>
      <c r="AA37" s="113" t="s">
        <v>79</v>
      </c>
      <c r="AB37" s="113" t="s">
        <v>78</v>
      </c>
      <c r="AC37" s="113" t="s">
        <v>78</v>
      </c>
      <c r="AD37" s="114" t="s">
        <v>19</v>
      </c>
      <c r="AE37" s="114" t="s">
        <v>19</v>
      </c>
      <c r="AF37" s="114" t="s">
        <v>19</v>
      </c>
      <c r="AG37" s="114" t="s">
        <v>19</v>
      </c>
      <c r="AH37" s="156" t="s">
        <v>79</v>
      </c>
      <c r="AI37" s="35">
        <v>8</v>
      </c>
      <c r="AJ37" s="35">
        <f>SUM(COUNTIF(E37:AH37,{"R/D","R/N"}))</f>
      </c>
      <c r="AK37" s="35">
        <v>0</v>
      </c>
      <c r="AL37" s="35">
        <f>AI37+AJ37*12+AK37*8</f>
      </c>
      <c r="AM37" s="1"/>
      <c r="AN37" s="1"/>
      <c r="AO37" s="1"/>
      <c r="AP37" s="1"/>
      <c r="AQ37" s="3"/>
      <c r="AR37" s="1"/>
    </row>
    <row x14ac:dyDescent="0.25" r="38" customHeight="1" ht="18.75">
      <c r="A38" s="1"/>
      <c r="B38" s="25" t="s">
        <v>23</v>
      </c>
      <c r="C38" s="95" t="s">
        <v>80</v>
      </c>
      <c r="D38" s="27">
        <v>35082</v>
      </c>
      <c r="E38" s="157" t="s">
        <v>22</v>
      </c>
      <c r="F38" s="64" t="s">
        <v>19</v>
      </c>
      <c r="G38" s="64" t="s">
        <v>19</v>
      </c>
      <c r="H38" s="63" t="s">
        <v>23</v>
      </c>
      <c r="I38" s="63" t="s">
        <v>23</v>
      </c>
      <c r="J38" s="63" t="s">
        <v>21</v>
      </c>
      <c r="K38" s="63" t="s">
        <v>21</v>
      </c>
      <c r="L38" s="64" t="s">
        <v>19</v>
      </c>
      <c r="M38" s="64" t="s">
        <v>19</v>
      </c>
      <c r="N38" s="65" t="s">
        <v>37</v>
      </c>
      <c r="O38" s="64" t="s">
        <v>19</v>
      </c>
      <c r="P38" s="63" t="s">
        <v>23</v>
      </c>
      <c r="Q38" s="63" t="s">
        <v>23</v>
      </c>
      <c r="R38" s="63" t="s">
        <v>21</v>
      </c>
      <c r="S38" s="63" t="s">
        <v>21</v>
      </c>
      <c r="T38" s="64" t="s">
        <v>19</v>
      </c>
      <c r="U38" s="65" t="s">
        <v>22</v>
      </c>
      <c r="V38" s="64" t="s">
        <v>19</v>
      </c>
      <c r="W38" s="64" t="s">
        <v>19</v>
      </c>
      <c r="X38" s="63" t="s">
        <v>23</v>
      </c>
      <c r="Y38" s="63" t="s">
        <v>23</v>
      </c>
      <c r="Z38" s="63" t="s">
        <v>21</v>
      </c>
      <c r="AA38" s="63" t="s">
        <v>21</v>
      </c>
      <c r="AB38" s="65" t="s">
        <v>22</v>
      </c>
      <c r="AC38" s="65" t="s">
        <v>22</v>
      </c>
      <c r="AD38" s="64" t="s">
        <v>19</v>
      </c>
      <c r="AE38" s="64" t="s">
        <v>19</v>
      </c>
      <c r="AF38" s="63" t="s">
        <v>23</v>
      </c>
      <c r="AG38" s="63" t="s">
        <v>23</v>
      </c>
      <c r="AH38" s="82" t="s">
        <v>21</v>
      </c>
      <c r="AI38" s="35">
        <v>6</v>
      </c>
      <c r="AJ38" s="35">
        <f>SUM(COUNTIF(E38:AH38,{"R/D","R/N"}))</f>
      </c>
      <c r="AK38" s="35">
        <v>0</v>
      </c>
      <c r="AL38" s="35">
        <f>AI38+AJ38*12+AK38*8</f>
      </c>
      <c r="AM38" s="1"/>
      <c r="AN38" s="1"/>
      <c r="AO38" s="1"/>
      <c r="AP38" s="1"/>
      <c r="AQ38" s="3"/>
      <c r="AR38" s="1"/>
    </row>
    <row x14ac:dyDescent="0.25" r="39" customHeight="1" ht="18.75">
      <c r="A39" s="1"/>
      <c r="B39" s="36"/>
      <c r="C39" s="99" t="s">
        <v>81</v>
      </c>
      <c r="D39" s="50">
        <v>36155</v>
      </c>
      <c r="E39" s="39" t="s">
        <v>19</v>
      </c>
      <c r="F39" s="85" t="s">
        <v>37</v>
      </c>
      <c r="G39" s="41" t="s">
        <v>19</v>
      </c>
      <c r="H39" s="40" t="s">
        <v>23</v>
      </c>
      <c r="I39" s="40" t="s">
        <v>23</v>
      </c>
      <c r="J39" s="40" t="s">
        <v>21</v>
      </c>
      <c r="K39" s="40" t="s">
        <v>21</v>
      </c>
      <c r="L39" s="85" t="s">
        <v>22</v>
      </c>
      <c r="M39" s="41" t="s">
        <v>19</v>
      </c>
      <c r="N39" s="41" t="s">
        <v>19</v>
      </c>
      <c r="O39" s="41" t="s">
        <v>19</v>
      </c>
      <c r="P39" s="40" t="s">
        <v>23</v>
      </c>
      <c r="Q39" s="40" t="s">
        <v>23</v>
      </c>
      <c r="R39" s="40" t="s">
        <v>21</v>
      </c>
      <c r="S39" s="40" t="s">
        <v>21</v>
      </c>
      <c r="T39" s="41" t="s">
        <v>19</v>
      </c>
      <c r="U39" s="41" t="s">
        <v>19</v>
      </c>
      <c r="V39" s="41" t="s">
        <v>19</v>
      </c>
      <c r="W39" s="41" t="s">
        <v>19</v>
      </c>
      <c r="X39" s="43" t="s">
        <v>20</v>
      </c>
      <c r="Y39" s="43" t="s">
        <v>20</v>
      </c>
      <c r="Z39" s="43" t="s">
        <v>20</v>
      </c>
      <c r="AA39" s="43" t="s">
        <v>20</v>
      </c>
      <c r="AB39" s="43" t="s">
        <v>20</v>
      </c>
      <c r="AC39" s="101" t="s">
        <v>24</v>
      </c>
      <c r="AD39" s="101" t="s">
        <v>24</v>
      </c>
      <c r="AE39" s="43" t="s">
        <v>20</v>
      </c>
      <c r="AF39" s="40" t="s">
        <v>23</v>
      </c>
      <c r="AG39" s="40" t="s">
        <v>23</v>
      </c>
      <c r="AH39" s="86" t="s">
        <v>21</v>
      </c>
      <c r="AI39" s="35">
        <v>4</v>
      </c>
      <c r="AJ39" s="35">
        <f>SUM(COUNTIF(E39:AH39,{"R/D","R/N"}))</f>
      </c>
      <c r="AK39" s="35">
        <v>0</v>
      </c>
      <c r="AL39" s="35">
        <f>AI39+AJ39*12+AK39*8</f>
      </c>
      <c r="AM39" s="1"/>
      <c r="AN39" s="1"/>
      <c r="AO39" s="1"/>
      <c r="AP39" s="1"/>
      <c r="AQ39" s="3"/>
      <c r="AR39" s="1"/>
    </row>
    <row x14ac:dyDescent="0.25" r="40" customHeight="1" ht="18.75">
      <c r="A40" s="1"/>
      <c r="B40" s="36"/>
      <c r="C40" s="99" t="s">
        <v>82</v>
      </c>
      <c r="D40" s="100">
        <v>39035</v>
      </c>
      <c r="E40" s="39" t="s">
        <v>19</v>
      </c>
      <c r="F40" s="41" t="s">
        <v>19</v>
      </c>
      <c r="G40" s="41" t="s">
        <v>19</v>
      </c>
      <c r="H40" s="40" t="s">
        <v>23</v>
      </c>
      <c r="I40" s="40" t="s">
        <v>23</v>
      </c>
      <c r="J40" s="40" t="s">
        <v>21</v>
      </c>
      <c r="K40" s="40" t="s">
        <v>21</v>
      </c>
      <c r="L40" s="41" t="s">
        <v>19</v>
      </c>
      <c r="M40" s="41" t="s">
        <v>19</v>
      </c>
      <c r="N40" s="41" t="s">
        <v>19</v>
      </c>
      <c r="O40" s="41" t="s">
        <v>19</v>
      </c>
      <c r="P40" s="40" t="s">
        <v>23</v>
      </c>
      <c r="Q40" s="40" t="s">
        <v>23</v>
      </c>
      <c r="R40" s="40" t="s">
        <v>21</v>
      </c>
      <c r="S40" s="40" t="s">
        <v>21</v>
      </c>
      <c r="T40" s="41" t="s">
        <v>19</v>
      </c>
      <c r="U40" s="41" t="s">
        <v>19</v>
      </c>
      <c r="V40" s="41" t="s">
        <v>19</v>
      </c>
      <c r="W40" s="41" t="s">
        <v>19</v>
      </c>
      <c r="X40" s="40" t="s">
        <v>23</v>
      </c>
      <c r="Y40" s="40" t="s">
        <v>23</v>
      </c>
      <c r="Z40" s="40" t="s">
        <v>21</v>
      </c>
      <c r="AA40" s="40" t="s">
        <v>21</v>
      </c>
      <c r="AB40" s="41" t="s">
        <v>19</v>
      </c>
      <c r="AC40" s="41" t="s">
        <v>19</v>
      </c>
      <c r="AD40" s="41" t="s">
        <v>19</v>
      </c>
      <c r="AE40" s="41" t="s">
        <v>19</v>
      </c>
      <c r="AF40" s="40" t="s">
        <v>23</v>
      </c>
      <c r="AG40" s="40" t="s">
        <v>23</v>
      </c>
      <c r="AH40" s="86" t="s">
        <v>21</v>
      </c>
      <c r="AI40" s="35">
        <v>6</v>
      </c>
      <c r="AJ40" s="35">
        <f>SUM(COUNTIF(E40:AH40,{"R/D","R/N"}))</f>
      </c>
      <c r="AK40" s="35">
        <v>0</v>
      </c>
      <c r="AL40" s="35">
        <f>AI40+AJ40*12+AK40*8</f>
      </c>
      <c r="AM40" s="1"/>
      <c r="AN40" s="1"/>
      <c r="AO40" s="1"/>
      <c r="AP40" s="1"/>
      <c r="AQ40" s="3"/>
      <c r="AR40" s="1"/>
    </row>
    <row x14ac:dyDescent="0.25" r="41" customHeight="1" ht="18.75">
      <c r="A41" s="1"/>
      <c r="B41" s="72"/>
      <c r="C41" s="107" t="s">
        <v>83</v>
      </c>
      <c r="D41" s="108">
        <v>39021</v>
      </c>
      <c r="E41" s="143" t="s">
        <v>19</v>
      </c>
      <c r="F41" s="85" t="s">
        <v>22</v>
      </c>
      <c r="G41" s="114" t="s">
        <v>19</v>
      </c>
      <c r="H41" s="113" t="s">
        <v>23</v>
      </c>
      <c r="I41" s="113" t="s">
        <v>23</v>
      </c>
      <c r="J41" s="113" t="s">
        <v>21</v>
      </c>
      <c r="K41" s="113" t="s">
        <v>21</v>
      </c>
      <c r="L41" s="114" t="s">
        <v>19</v>
      </c>
      <c r="M41" s="115" t="s">
        <v>22</v>
      </c>
      <c r="N41" s="114" t="s">
        <v>19</v>
      </c>
      <c r="O41" s="114" t="s">
        <v>19</v>
      </c>
      <c r="P41" s="113" t="s">
        <v>23</v>
      </c>
      <c r="Q41" s="113" t="s">
        <v>23</v>
      </c>
      <c r="R41" s="113" t="s">
        <v>21</v>
      </c>
      <c r="S41" s="113" t="s">
        <v>21</v>
      </c>
      <c r="T41" s="114" t="s">
        <v>19</v>
      </c>
      <c r="U41" s="114" t="s">
        <v>19</v>
      </c>
      <c r="V41" s="114" t="s">
        <v>19</v>
      </c>
      <c r="W41" s="114" t="s">
        <v>19</v>
      </c>
      <c r="X41" s="113" t="s">
        <v>23</v>
      </c>
      <c r="Y41" s="113" t="s">
        <v>23</v>
      </c>
      <c r="Z41" s="113" t="s">
        <v>21</v>
      </c>
      <c r="AA41" s="113" t="s">
        <v>21</v>
      </c>
      <c r="AB41" s="115" t="s">
        <v>22</v>
      </c>
      <c r="AC41" s="115" t="s">
        <v>22</v>
      </c>
      <c r="AD41" s="114" t="s">
        <v>19</v>
      </c>
      <c r="AE41" s="114" t="s">
        <v>19</v>
      </c>
      <c r="AF41" s="113" t="s">
        <v>23</v>
      </c>
      <c r="AG41" s="113" t="s">
        <v>23</v>
      </c>
      <c r="AH41" s="156" t="s">
        <v>21</v>
      </c>
      <c r="AI41" s="35">
        <v>6</v>
      </c>
      <c r="AJ41" s="35">
        <f>SUM(COUNTIF(E41:AH41,{"R/D","R/N"}))</f>
      </c>
      <c r="AK41" s="35">
        <v>0</v>
      </c>
      <c r="AL41" s="35">
        <f>AI41+AJ41*12+AK41*8</f>
      </c>
      <c r="AM41" s="1"/>
      <c r="AN41" s="1"/>
      <c r="AO41" s="1"/>
      <c r="AP41" s="1"/>
      <c r="AQ41" s="3"/>
      <c r="AR41" s="1"/>
    </row>
    <row x14ac:dyDescent="0.25" r="42" customHeight="1" ht="18.75">
      <c r="A42" s="1"/>
      <c r="B42" s="1"/>
      <c r="C42" s="1"/>
      <c r="D42" s="117" t="s">
        <v>23</v>
      </c>
      <c r="E42" s="118">
        <f>COUNTIF(E25:E41,"D")+COUNTIF(E25:E41,"R/D")</f>
      </c>
      <c r="F42" s="118">
        <f>COUNTIF(F25:F41,"D")+COUNTIF(F25:F41,"R/D")</f>
      </c>
      <c r="G42" s="118">
        <f>COUNTIF(G25:G41,"D")+COUNTIF(G25:G41,"R/D")</f>
      </c>
      <c r="H42" s="118">
        <f>COUNTIF(H25:H41,"D")+COUNTIF(H25:H41,"R/D")</f>
      </c>
      <c r="I42" s="118">
        <f>COUNTIF(I25:I41,"D")+COUNTIF(I25:I41,"R/D")</f>
      </c>
      <c r="J42" s="118">
        <f>COUNTIF(J25:J41,"D")+COUNTIF(J25:J41,"R/D")</f>
      </c>
      <c r="K42" s="118">
        <f>COUNTIF(K25:K41,"D")+COUNTIF(K25:K41,"R/D")</f>
      </c>
      <c r="L42" s="118">
        <f>COUNTIF(L25:L41,"D")+COUNTIF(L25:L41,"R/D")</f>
      </c>
      <c r="M42" s="118">
        <f>COUNTIF(M25:M41,"D")+COUNTIF(M25:M41,"R/D")</f>
      </c>
      <c r="N42" s="118">
        <f>COUNTIF(N25:N41,"D")+COUNTIF(N25:N41,"R/D")</f>
      </c>
      <c r="O42" s="118">
        <f>COUNTIF(O25:O41,"D")+COUNTIF(O25:O41,"R/D")</f>
      </c>
      <c r="P42" s="118">
        <f>COUNTIF(P25:P41,"D")+COUNTIF(P25:P41,"R/D")</f>
      </c>
      <c r="Q42" s="118">
        <f>COUNTIF(Q25:Q41,"D")+COUNTIF(Q25:Q41,"R/D")</f>
      </c>
      <c r="R42" s="118">
        <f>COUNTIF(R25:R41,"D")+COUNTIF(R25:R41,"R/D")</f>
      </c>
      <c r="S42" s="118">
        <f>COUNTIF(S25:S41,"D")+COUNTIF(S25:S41,"R/D")</f>
      </c>
      <c r="T42" s="118">
        <f>COUNTIF(T25:T41,"D")+COUNTIF(T25:T41,"R/D")</f>
      </c>
      <c r="U42" s="118">
        <f>COUNTIF(U25:U41,"D")+COUNTIF(U25:U41,"R/D")</f>
      </c>
      <c r="V42" s="118">
        <f>COUNTIF(V25:V41,"D")+COUNTIF(V25:V41,"R/D")</f>
      </c>
      <c r="W42" s="118">
        <f>COUNTIF(W25:W41,"D")+COUNTIF(W25:W41,"R/D")</f>
      </c>
      <c r="X42" s="118">
        <f>COUNTIF(X25:X41,"D")+COUNTIF(X25:X41,"R/D")</f>
      </c>
      <c r="Y42" s="118">
        <f>COUNTIF(Y25:Y41,"D")+COUNTIF(Y25:Y41,"R/D")</f>
      </c>
      <c r="Z42" s="118">
        <f>COUNTIF(Z25:Z41,"D")+COUNTIF(Z25:Z41,"R/D")</f>
      </c>
      <c r="AA42" s="118">
        <f>COUNTIF(AA25:AA41,"D")+COUNTIF(AA25:AA41,"R/D")</f>
      </c>
      <c r="AB42" s="118">
        <f>COUNTIF(AB25:AB41,"D")+COUNTIF(AB25:AB41,"R/D")</f>
      </c>
      <c r="AC42" s="118">
        <f>COUNTIF(AC25:AC41,"D")+COUNTIF(AC25:AC41,"R/D")</f>
      </c>
      <c r="AD42" s="118">
        <f>COUNTIF(AD25:AD41,"D")+COUNTIF(AD25:AD41,"R/D")</f>
      </c>
      <c r="AE42" s="118">
        <f>COUNTIF(AE25:AE41,"D")+COUNTIF(AE25:AE41,"R/D")</f>
      </c>
      <c r="AF42" s="118">
        <f>COUNTIF(AF25:AF41,"D")+COUNTIF(AF25:AF41,"R/D")</f>
      </c>
      <c r="AG42" s="118">
        <f>COUNTIF(AG25:AG41,"D")+COUNTIF(AG25:AG41,"R/D")</f>
      </c>
      <c r="AH42" s="118">
        <f>COUNTIF(AH25:AH41,"D")+COUNTIF(AH25:AH41,"R/D")</f>
      </c>
      <c r="AI42" s="119">
        <f>SUM(AI25:AI41)</f>
      </c>
      <c r="AJ42" s="119">
        <f>SUM(AJ25:AJ41)</f>
      </c>
      <c r="AK42" s="119">
        <f>SUM(AK25:AK41)</f>
      </c>
      <c r="AL42" s="119">
        <f>SUM(AL25:AL41)</f>
      </c>
      <c r="AM42" s="1"/>
      <c r="AN42" s="1"/>
      <c r="AO42" s="1"/>
      <c r="AP42" s="1"/>
      <c r="AQ42" s="3"/>
      <c r="AR42" s="1"/>
    </row>
    <row x14ac:dyDescent="0.25" r="43" customHeight="1" ht="18.75">
      <c r="A43" s="1"/>
      <c r="B43" s="1"/>
      <c r="C43" s="1"/>
      <c r="D43" s="120" t="s">
        <v>21</v>
      </c>
      <c r="E43" s="121">
        <f>COUNTIF(E25:E41,"N")+COUNTIF(E25:E41,"R/N")</f>
      </c>
      <c r="F43" s="121">
        <f>COUNTIF(F25:F41,"N")+COUNTIF(F25:F41,"R/N")</f>
      </c>
      <c r="G43" s="121">
        <f>COUNTIF(G25:G41,"N")+COUNTIF(G25:G41,"R/N")</f>
      </c>
      <c r="H43" s="121">
        <f>COUNTIF(H25:H41,"N")+COUNTIF(H25:H41,"R/N")</f>
      </c>
      <c r="I43" s="121">
        <f>COUNTIF(I25:I41,"N")+COUNTIF(I25:I41,"R/N")</f>
      </c>
      <c r="J43" s="121">
        <f>COUNTIF(J25:J41,"N")+COUNTIF(J25:J41,"R/N")</f>
      </c>
      <c r="K43" s="121">
        <f>COUNTIF(K25:K41,"N")+COUNTIF(K25:K41,"R/N")</f>
      </c>
      <c r="L43" s="121">
        <f>COUNTIF(L25:L41,"N")+COUNTIF(L25:L41,"R/N")</f>
      </c>
      <c r="M43" s="121">
        <f>COUNTIF(M25:M41,"N")+COUNTIF(M25:M41,"R/N")</f>
      </c>
      <c r="N43" s="121">
        <f>COUNTIF(N25:N41,"N")+COUNTIF(N25:N41,"R/N")</f>
      </c>
      <c r="O43" s="121">
        <f>COUNTIF(O25:O41,"N")+COUNTIF(O25:O41,"R/N")</f>
      </c>
      <c r="P43" s="121">
        <f>COUNTIF(P25:P41,"N")+COUNTIF(P25:P41,"R/N")</f>
      </c>
      <c r="Q43" s="121">
        <f>COUNTIF(Q25:Q41,"N")+COUNTIF(Q25:Q41,"R/N")</f>
      </c>
      <c r="R43" s="121">
        <f>COUNTIF(R25:R41,"N")+COUNTIF(R25:R41,"R/N")</f>
      </c>
      <c r="S43" s="121">
        <f>COUNTIF(S25:S41,"N")+COUNTIF(S25:S41,"R/N")</f>
      </c>
      <c r="T43" s="121">
        <f>COUNTIF(T25:T41,"N")+COUNTIF(T25:T41,"R/N")</f>
      </c>
      <c r="U43" s="121">
        <f>COUNTIF(U25:U41,"N")+COUNTIF(U25:U41,"R/N")</f>
      </c>
      <c r="V43" s="121">
        <f>COUNTIF(V25:V41,"N")+COUNTIF(V25:V41,"R/N")</f>
      </c>
      <c r="W43" s="121">
        <f>COUNTIF(W25:W41,"N")+COUNTIF(W25:W41,"R/N")</f>
      </c>
      <c r="X43" s="121">
        <f>COUNTIF(X25:X41,"N")+COUNTIF(X25:X41,"R/N")</f>
      </c>
      <c r="Y43" s="121">
        <f>COUNTIF(Y25:Y41,"N")+COUNTIF(Y25:Y41,"R/N")</f>
      </c>
      <c r="Z43" s="121">
        <f>COUNTIF(Z25:Z41,"N")+COUNTIF(Z25:Z41,"R/N")</f>
      </c>
      <c r="AA43" s="121">
        <f>COUNTIF(AA25:AA41,"N")+COUNTIF(AA25:AA41,"R/N")</f>
      </c>
      <c r="AB43" s="121">
        <f>COUNTIF(AB25:AB41,"N")+COUNTIF(AB25:AB41,"R/N")</f>
      </c>
      <c r="AC43" s="121">
        <f>COUNTIF(AC25:AC41,"N")+COUNTIF(AC25:AC41,"R/N")</f>
      </c>
      <c r="AD43" s="121">
        <f>COUNTIF(AD25:AD41,"N")+COUNTIF(AD25:AD41,"R/N")</f>
      </c>
      <c r="AE43" s="121">
        <f>COUNTIF(AE25:AE41,"N")+COUNTIF(AE25:AE41,"R/N")</f>
      </c>
      <c r="AF43" s="121">
        <f>COUNTIF(AF25:AF41,"N")+COUNTIF(AF25:AF41,"R/N")</f>
      </c>
      <c r="AG43" s="121">
        <f>COUNTIF(AG25:AG41,"N")+COUNTIF(AG25:AG41,"R/N")</f>
      </c>
      <c r="AH43" s="121">
        <f>COUNTIF(AH25:AH41,"N")+COUNTIF(AH25:AH41,"R/N")</f>
      </c>
      <c r="AI43" s="119"/>
      <c r="AJ43" s="119"/>
      <c r="AK43" s="119"/>
      <c r="AL43" s="119"/>
      <c r="AM43" s="1"/>
      <c r="AN43" s="1"/>
      <c r="AO43" s="1"/>
      <c r="AP43" s="1"/>
      <c r="AQ43" s="3"/>
      <c r="AR43" s="1"/>
    </row>
    <row x14ac:dyDescent="0.25" r="44" customHeight="1" ht="18.75">
      <c r="A44" s="1"/>
      <c r="B44" s="1"/>
      <c r="C44" s="1"/>
      <c r="D44" s="127" t="s">
        <v>19</v>
      </c>
      <c r="E44" s="121">
        <f>COUNTIF(E25:E41,"R")</f>
      </c>
      <c r="F44" s="121">
        <f>COUNTIF(F25:F41,"R")</f>
      </c>
      <c r="G44" s="121">
        <f>COUNTIF(G25:G41,"R")</f>
      </c>
      <c r="H44" s="121">
        <f>COUNTIF(H25:H41,"R")</f>
      </c>
      <c r="I44" s="121">
        <f>COUNTIF(I25:I41,"R")</f>
      </c>
      <c r="J44" s="121">
        <f>COUNTIF(J25:J41,"R")</f>
      </c>
      <c r="K44" s="121">
        <f>COUNTIF(K25:K41,"R")</f>
      </c>
      <c r="L44" s="121">
        <f>COUNTIF(L25:L41,"R")</f>
      </c>
      <c r="M44" s="121">
        <f>COUNTIF(M25:M41,"R")</f>
      </c>
      <c r="N44" s="121">
        <f>COUNTIF(N25:N41,"R")</f>
      </c>
      <c r="O44" s="121">
        <f>COUNTIF(O25:O41,"R")</f>
      </c>
      <c r="P44" s="121">
        <f>COUNTIF(P25:P41,"R")</f>
      </c>
      <c r="Q44" s="121">
        <f>COUNTIF(Q25:Q41,"R")</f>
      </c>
      <c r="R44" s="121">
        <f>COUNTIF(R25:R41,"R")</f>
      </c>
      <c r="S44" s="121">
        <f>COUNTIF(S25:S41,"R")</f>
      </c>
      <c r="T44" s="121">
        <f>COUNTIF(T25:T41,"R")</f>
      </c>
      <c r="U44" s="121">
        <f>COUNTIF(U25:U41,"R")</f>
      </c>
      <c r="V44" s="121">
        <f>COUNTIF(V25:V41,"R")</f>
      </c>
      <c r="W44" s="121">
        <f>COUNTIF(W25:W41,"R")</f>
      </c>
      <c r="X44" s="121">
        <f>COUNTIF(X25:X41,"R")</f>
      </c>
      <c r="Y44" s="121">
        <f>COUNTIF(Y25:Y41,"R")</f>
      </c>
      <c r="Z44" s="121">
        <f>COUNTIF(Z25:Z41,"R")</f>
      </c>
      <c r="AA44" s="121">
        <f>COUNTIF(AA25:AA41,"R")</f>
      </c>
      <c r="AB44" s="121">
        <f>COUNTIF(AB25:AB41,"R")</f>
      </c>
      <c r="AC44" s="121">
        <f>COUNTIF(AC25:AC41,"R")</f>
      </c>
      <c r="AD44" s="121">
        <f>COUNTIF(AD25:AD41,"R")</f>
      </c>
      <c r="AE44" s="121">
        <f>COUNTIF(AE25:AE41,"R")</f>
      </c>
      <c r="AF44" s="121">
        <f>COUNTIF(AF25:AF41,"R")</f>
      </c>
      <c r="AG44" s="121">
        <f>COUNTIF(AG25:AG41,"R")</f>
      </c>
      <c r="AH44" s="121">
        <f>COUNTIF(AH25:AH41,"R")</f>
      </c>
      <c r="AI44" s="119"/>
      <c r="AJ44" s="119">
        <f>AJ42*12-12*6</f>
      </c>
      <c r="AK44" s="119"/>
      <c r="AL44" s="119"/>
      <c r="AM44" s="1"/>
      <c r="AN44" s="1"/>
      <c r="AO44" s="1"/>
      <c r="AP44" s="1"/>
      <c r="AQ44" s="3"/>
      <c r="AR44" s="1"/>
    </row>
  </sheetData>
  <mergeCells count="25">
    <mergeCell ref="B3:D3"/>
    <mergeCell ref="E3:AH3"/>
    <mergeCell ref="B4:D4"/>
    <mergeCell ref="B6:B8"/>
    <mergeCell ref="AN7:AR7"/>
    <mergeCell ref="B9:B10"/>
    <mergeCell ref="AN9:AN13"/>
    <mergeCell ref="AO9:AO13"/>
    <mergeCell ref="AQ9:AQ13"/>
    <mergeCell ref="AR9:AR13"/>
    <mergeCell ref="B11:B13"/>
    <mergeCell ref="B14:B16"/>
    <mergeCell ref="AN14:AN19"/>
    <mergeCell ref="AO14:AO19"/>
    <mergeCell ref="AR14:AR19"/>
    <mergeCell ref="AN20:AN21"/>
    <mergeCell ref="AO20:AO21"/>
    <mergeCell ref="AR20:AR21"/>
    <mergeCell ref="B22:D22"/>
    <mergeCell ref="E22:AH22"/>
    <mergeCell ref="B23:D23"/>
    <mergeCell ref="B25:B28"/>
    <mergeCell ref="B29:B32"/>
    <mergeCell ref="B33:B37"/>
    <mergeCell ref="B38:B4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book1</vt:lpstr>
      <vt:lpstr>Nov-24 (2)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2025-08-05T12:00:05.968Z</dcterms:created>
  <dcterms:modified xsi:type="dcterms:W3CDTF">2025-08-05T12:00:05.968Z</dcterms:modified>
</cp:coreProperties>
</file>