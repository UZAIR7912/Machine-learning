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<sst xmlns="http://schemas.openxmlformats.org/spreadsheetml/2006/main" count="377" uniqueCount="10">
  <si>
    <t>S/N</t>
  </si>
  <si>
    <t>OT count</t>
  </si>
  <si>
    <t>D</t>
  </si>
  <si>
    <t>N</t>
  </si>
  <si>
    <t>R/N</t>
  </si>
  <si>
    <t>R</t>
  </si>
  <si>
    <t>R/D</t>
  </si>
  <si>
    <t>L</t>
  </si>
  <si>
    <t>L/R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</si>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</sst>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right"/>
    </xf>
    <xf xfId="0" numFmtId="3" applyNumberFormat="1" borderId="9" applyBorder="1" fontId="2" applyFont="1" fillId="0" applyAlignment="1">
      <alignment horizontal="center"/>
    </xf>
    <xf xfId="0" numFmtId="3" applyNumberFormat="1" borderId="10" applyBorder="1" fontId="2" applyFont="1" fillId="0" applyAlignment="1">
      <alignment horizontal="center"/>
    </xf>
    <xf xfId="0" numFmtId="3" applyNumberFormat="1" borderId="11" applyBorder="1" fontId="2" applyFont="1" fillId="0" applyAlignment="1">
      <alignment horizontal="center"/>
    </xf>
    <xf xfId="0" numFmtId="3" applyNumberFormat="1" borderId="12" applyBorder="1" fontId="3" applyFont="1" fillId="0" applyAlignment="1">
      <alignment horizontal="center"/>
    </xf>
    <xf xfId="0" numFmtId="3" applyNumberFormat="1" borderId="13" applyBorder="1" fontId="2" applyFont="1" fillId="0" applyAlignment="1">
      <alignment horizontal="center"/>
    </xf>
    <xf xfId="0" numFmtId="3" applyNumberFormat="1" borderId="14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5" applyBorder="1" fontId="4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16" applyBorder="1" fontId="5" applyFont="1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16"/>
  <sheetViews>
    <sheetView workbookViewId="0" tabSelected="1"/>
  </sheetViews>
  <sheetFormatPr defaultRowHeight="15" x14ac:dyDescent="0.25"/>
  <cols>
    <col min="1" max="1" style="19" width="13.5764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9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19" width="13.576428571428572" customWidth="1" bestFit="1"/>
    <col min="27" max="27" style="19" width="13.576428571428572" customWidth="1" bestFit="1"/>
    <col min="28" max="28" style="19" width="13.576428571428572" customWidth="1" bestFit="1"/>
    <col min="29" max="29" style="19" width="13.576428571428572" customWidth="1" bestFit="1"/>
    <col min="30" max="30" style="19" width="13.576428571428572" customWidth="1" bestFit="1"/>
    <col min="31" max="31" style="19" width="13.576428571428572" customWidth="1" bestFit="1"/>
    <col min="32" max="32" style="19" width="13.576428571428572" customWidth="1" bestFit="1"/>
    <col min="33" max="33" style="20" width="12.719285714285713" customWidth="1" bestFit="1"/>
  </cols>
  <sheetData>
    <row x14ac:dyDescent="0.25" r="1" customHeight="1" ht="2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3">
        <v>31</v>
      </c>
      <c r="AG1" s="4" t="s">
        <v>1</v>
      </c>
    </row>
    <row x14ac:dyDescent="0.25" r="2" customHeight="1" ht="18.75">
      <c r="A2" s="5">
        <v>19371</v>
      </c>
      <c r="B2" s="6" t="s">
        <v>2</v>
      </c>
      <c r="C2" s="6" t="s">
        <v>2</v>
      </c>
      <c r="D2" s="6" t="s">
        <v>3</v>
      </c>
      <c r="E2" s="6" t="s">
        <v>3</v>
      </c>
      <c r="F2" s="6" t="s">
        <v>4</v>
      </c>
      <c r="G2" s="6" t="s">
        <v>4</v>
      </c>
      <c r="H2" s="6" t="s">
        <v>4</v>
      </c>
      <c r="I2" s="6" t="s">
        <v>5</v>
      </c>
      <c r="J2" s="6" t="s">
        <v>2</v>
      </c>
      <c r="K2" s="6" t="s">
        <v>2</v>
      </c>
      <c r="L2" s="6" t="s">
        <v>3</v>
      </c>
      <c r="M2" s="6" t="s">
        <v>3</v>
      </c>
      <c r="N2" s="6" t="s">
        <v>4</v>
      </c>
      <c r="O2" s="6" t="s">
        <v>4</v>
      </c>
      <c r="P2" s="6" t="s">
        <v>4</v>
      </c>
      <c r="Q2" s="6" t="s">
        <v>5</v>
      </c>
      <c r="R2" s="6" t="s">
        <v>2</v>
      </c>
      <c r="S2" s="6" t="s">
        <v>2</v>
      </c>
      <c r="T2" s="6" t="s">
        <v>3</v>
      </c>
      <c r="U2" s="6" t="s">
        <v>3</v>
      </c>
      <c r="V2" s="6" t="s">
        <v>5</v>
      </c>
      <c r="W2" s="6" t="s">
        <v>5</v>
      </c>
      <c r="X2" s="6" t="s">
        <v>6</v>
      </c>
      <c r="Y2" s="6" t="s">
        <v>6</v>
      </c>
      <c r="Z2" s="6" t="s">
        <v>2</v>
      </c>
      <c r="AA2" s="6" t="s">
        <v>2</v>
      </c>
      <c r="AB2" s="6" t="s">
        <v>3</v>
      </c>
      <c r="AC2" s="6" t="s">
        <v>3</v>
      </c>
      <c r="AD2" s="6" t="s">
        <v>5</v>
      </c>
      <c r="AE2" s="6" t="s">
        <v>5</v>
      </c>
      <c r="AF2" s="7" t="s">
        <v>6</v>
      </c>
      <c r="AG2" s="8">
        <f>COUNTIF(B2:AF2,"R/N")+COUNTIF(B2:AF2,"R/D")</f>
      </c>
    </row>
    <row x14ac:dyDescent="0.25" r="3" customHeight="1" ht="18.75">
      <c r="A3" s="5">
        <v>40516</v>
      </c>
      <c r="B3" s="6" t="s">
        <v>2</v>
      </c>
      <c r="C3" s="6" t="s">
        <v>2</v>
      </c>
      <c r="D3" s="6" t="s">
        <v>3</v>
      </c>
      <c r="E3" s="6" t="s">
        <v>3</v>
      </c>
      <c r="F3" s="6" t="s">
        <v>5</v>
      </c>
      <c r="G3" s="6" t="s">
        <v>6</v>
      </c>
      <c r="H3" s="6" t="s">
        <v>5</v>
      </c>
      <c r="I3" s="6" t="s">
        <v>5</v>
      </c>
      <c r="J3" s="6" t="s">
        <v>2</v>
      </c>
      <c r="K3" s="6" t="s">
        <v>2</v>
      </c>
      <c r="L3" s="6" t="s">
        <v>3</v>
      </c>
      <c r="M3" s="6" t="s">
        <v>3</v>
      </c>
      <c r="N3" s="6" t="s">
        <v>5</v>
      </c>
      <c r="O3" s="6" t="s">
        <v>6</v>
      </c>
      <c r="P3" s="6" t="s">
        <v>5</v>
      </c>
      <c r="Q3" s="6" t="s">
        <v>5</v>
      </c>
      <c r="R3" s="6" t="s">
        <v>2</v>
      </c>
      <c r="S3" s="6" t="s">
        <v>2</v>
      </c>
      <c r="T3" s="6" t="s">
        <v>3</v>
      </c>
      <c r="U3" s="6" t="s">
        <v>3</v>
      </c>
      <c r="V3" s="6" t="s">
        <v>5</v>
      </c>
      <c r="W3" s="6" t="s">
        <v>5</v>
      </c>
      <c r="X3" s="6" t="s">
        <v>5</v>
      </c>
      <c r="Y3" s="6" t="s">
        <v>5</v>
      </c>
      <c r="Z3" s="6" t="s">
        <v>2</v>
      </c>
      <c r="AA3" s="6" t="s">
        <v>2</v>
      </c>
      <c r="AB3" s="6" t="s">
        <v>3</v>
      </c>
      <c r="AC3" s="6" t="s">
        <v>3</v>
      </c>
      <c r="AD3" s="6" t="s">
        <v>5</v>
      </c>
      <c r="AE3" s="6" t="s">
        <v>5</v>
      </c>
      <c r="AF3" s="7" t="s">
        <v>5</v>
      </c>
      <c r="AG3" s="8">
        <f>COUNTIF(B3:AF3,"R/N")+COUNTIF(B3:AF3,"R/D")</f>
      </c>
    </row>
    <row x14ac:dyDescent="0.25" r="4" customHeight="1" ht="18.75">
      <c r="A4" s="5">
        <v>17983</v>
      </c>
      <c r="B4" s="6" t="s">
        <v>2</v>
      </c>
      <c r="C4" s="6" t="s">
        <v>2</v>
      </c>
      <c r="D4" s="6" t="s">
        <v>3</v>
      </c>
      <c r="E4" s="6" t="s">
        <v>3</v>
      </c>
      <c r="F4" s="6" t="s">
        <v>5</v>
      </c>
      <c r="G4" s="6" t="s">
        <v>5</v>
      </c>
      <c r="H4" s="6" t="s">
        <v>5</v>
      </c>
      <c r="I4" s="6" t="s">
        <v>5</v>
      </c>
      <c r="J4" s="6" t="s">
        <v>2</v>
      </c>
      <c r="K4" s="6" t="s">
        <v>2</v>
      </c>
      <c r="L4" s="6" t="s">
        <v>3</v>
      </c>
      <c r="M4" s="6" t="s">
        <v>3</v>
      </c>
      <c r="N4" s="6" t="s">
        <v>5</v>
      </c>
      <c r="O4" s="6" t="s">
        <v>5</v>
      </c>
      <c r="P4" s="6" t="s">
        <v>5</v>
      </c>
      <c r="Q4" s="6" t="s">
        <v>4</v>
      </c>
      <c r="R4" s="6" t="s">
        <v>7</v>
      </c>
      <c r="S4" s="6" t="s">
        <v>7</v>
      </c>
      <c r="T4" s="6" t="s">
        <v>7</v>
      </c>
      <c r="U4" s="6" t="s">
        <v>7</v>
      </c>
      <c r="V4" s="6" t="s">
        <v>7</v>
      </c>
      <c r="W4" s="6" t="s">
        <v>8</v>
      </c>
      <c r="X4" s="6" t="s">
        <v>8</v>
      </c>
      <c r="Y4" s="6" t="s">
        <v>7</v>
      </c>
      <c r="Z4" s="6" t="s">
        <v>7</v>
      </c>
      <c r="AA4" s="6" t="s">
        <v>7</v>
      </c>
      <c r="AB4" s="6" t="s">
        <v>7</v>
      </c>
      <c r="AC4" s="6" t="s">
        <v>7</v>
      </c>
      <c r="AD4" s="6" t="s">
        <v>8</v>
      </c>
      <c r="AE4" s="6" t="s">
        <v>8</v>
      </c>
      <c r="AF4" s="7" t="s">
        <v>7</v>
      </c>
      <c r="AG4" s="8">
        <f>COUNTIF(B4:AF4,"R/N")+COUNTIF(B4:AF4,"R/D")</f>
      </c>
    </row>
    <row x14ac:dyDescent="0.25" r="5" customHeight="1" ht="18.75">
      <c r="A5" s="5">
        <v>19575</v>
      </c>
      <c r="B5" s="6" t="s">
        <v>3</v>
      </c>
      <c r="C5" s="6" t="s">
        <v>3</v>
      </c>
      <c r="D5" s="6" t="s">
        <v>5</v>
      </c>
      <c r="E5" s="6" t="s">
        <v>6</v>
      </c>
      <c r="F5" s="6" t="s">
        <v>6</v>
      </c>
      <c r="G5" s="6" t="s">
        <v>5</v>
      </c>
      <c r="H5" s="6" t="s">
        <v>2</v>
      </c>
      <c r="I5" s="6" t="s">
        <v>2</v>
      </c>
      <c r="J5" s="6" t="s">
        <v>3</v>
      </c>
      <c r="K5" s="6" t="s">
        <v>3</v>
      </c>
      <c r="L5" s="6" t="s">
        <v>5</v>
      </c>
      <c r="M5" s="6" t="s">
        <v>6</v>
      </c>
      <c r="N5" s="6" t="s">
        <v>6</v>
      </c>
      <c r="O5" s="6" t="s">
        <v>5</v>
      </c>
      <c r="P5" s="6" t="s">
        <v>2</v>
      </c>
      <c r="Q5" s="6" t="s">
        <v>2</v>
      </c>
      <c r="R5" s="6" t="s">
        <v>3</v>
      </c>
      <c r="S5" s="6" t="s">
        <v>3</v>
      </c>
      <c r="T5" s="6" t="s">
        <v>4</v>
      </c>
      <c r="U5" s="6" t="s">
        <v>4</v>
      </c>
      <c r="V5" s="6" t="s">
        <v>5</v>
      </c>
      <c r="W5" s="6" t="s">
        <v>5</v>
      </c>
      <c r="X5" s="6" t="s">
        <v>2</v>
      </c>
      <c r="Y5" s="6" t="s">
        <v>2</v>
      </c>
      <c r="Z5" s="6" t="s">
        <v>3</v>
      </c>
      <c r="AA5" s="6" t="s">
        <v>3</v>
      </c>
      <c r="AB5" s="6" t="s">
        <v>4</v>
      </c>
      <c r="AC5" s="6" t="s">
        <v>4</v>
      </c>
      <c r="AD5" s="6" t="s">
        <v>5</v>
      </c>
      <c r="AE5" s="6" t="s">
        <v>5</v>
      </c>
      <c r="AF5" s="7" t="s">
        <v>2</v>
      </c>
      <c r="AG5" s="8">
        <f>COUNTIF(B5:AF5,"R/N")+COUNTIF(B5:AF5,"R/D")</f>
      </c>
    </row>
    <row x14ac:dyDescent="0.25" r="6" customHeight="1" ht="18.75">
      <c r="A6" s="5">
        <v>17826</v>
      </c>
      <c r="B6" s="6" t="s">
        <v>3</v>
      </c>
      <c r="C6" s="6" t="s">
        <v>3</v>
      </c>
      <c r="D6" s="6" t="s">
        <v>5</v>
      </c>
      <c r="E6" s="6" t="s">
        <v>5</v>
      </c>
      <c r="F6" s="6" t="s">
        <v>5</v>
      </c>
      <c r="G6" s="6" t="s">
        <v>5</v>
      </c>
      <c r="H6" s="6" t="s">
        <v>2</v>
      </c>
      <c r="I6" s="6" t="s">
        <v>2</v>
      </c>
      <c r="J6" s="6" t="s">
        <v>3</v>
      </c>
      <c r="K6" s="6" t="s">
        <v>3</v>
      </c>
      <c r="L6" s="6" t="s">
        <v>5</v>
      </c>
      <c r="M6" s="6" t="s">
        <v>5</v>
      </c>
      <c r="N6" s="6" t="s">
        <v>5</v>
      </c>
      <c r="O6" s="6" t="s">
        <v>5</v>
      </c>
      <c r="P6" s="6" t="s">
        <v>2</v>
      </c>
      <c r="Q6" s="6" t="s">
        <v>2</v>
      </c>
      <c r="R6" s="6" t="s">
        <v>3</v>
      </c>
      <c r="S6" s="6" t="s">
        <v>3</v>
      </c>
      <c r="T6" s="6" t="s">
        <v>5</v>
      </c>
      <c r="U6" s="6" t="s">
        <v>5</v>
      </c>
      <c r="V6" s="6" t="s">
        <v>5</v>
      </c>
      <c r="W6" s="6" t="s">
        <v>5</v>
      </c>
      <c r="X6" s="6" t="s">
        <v>7</v>
      </c>
      <c r="Y6" s="6" t="s">
        <v>7</v>
      </c>
      <c r="Z6" s="6" t="s">
        <v>7</v>
      </c>
      <c r="AA6" s="6" t="s">
        <v>7</v>
      </c>
      <c r="AB6" s="6" t="s">
        <v>8</v>
      </c>
      <c r="AC6" s="6" t="s">
        <v>8</v>
      </c>
      <c r="AD6" s="6" t="s">
        <v>7</v>
      </c>
      <c r="AE6" s="6" t="s">
        <v>7</v>
      </c>
      <c r="AF6" s="7" t="s">
        <v>7</v>
      </c>
      <c r="AG6" s="8">
        <f>COUNTIF(B6:AF6,"R/N")+COUNTIF(B6:AF6,"R/D")</f>
      </c>
    </row>
    <row x14ac:dyDescent="0.25" r="7" customHeight="1" ht="18.75">
      <c r="A7" s="5">
        <v>19612</v>
      </c>
      <c r="B7" s="6" t="s">
        <v>5</v>
      </c>
      <c r="C7" s="6" t="s">
        <v>5</v>
      </c>
      <c r="D7" s="6" t="s">
        <v>6</v>
      </c>
      <c r="E7" s="6" t="s">
        <v>5</v>
      </c>
      <c r="F7" s="6" t="s">
        <v>2</v>
      </c>
      <c r="G7" s="6" t="s">
        <v>2</v>
      </c>
      <c r="H7" s="6" t="s">
        <v>3</v>
      </c>
      <c r="I7" s="6" t="s">
        <v>3</v>
      </c>
      <c r="J7" s="6" t="s">
        <v>5</v>
      </c>
      <c r="K7" s="6" t="s">
        <v>5</v>
      </c>
      <c r="L7" s="6" t="s">
        <v>6</v>
      </c>
      <c r="M7" s="6" t="s">
        <v>5</v>
      </c>
      <c r="N7" s="6" t="s">
        <v>2</v>
      </c>
      <c r="O7" s="6" t="s">
        <v>2</v>
      </c>
      <c r="P7" s="6" t="s">
        <v>3</v>
      </c>
      <c r="Q7" s="6" t="s">
        <v>3</v>
      </c>
      <c r="R7" s="6" t="s">
        <v>5</v>
      </c>
      <c r="S7" s="6" t="s">
        <v>6</v>
      </c>
      <c r="T7" s="6" t="s">
        <v>5</v>
      </c>
      <c r="U7" s="6" t="s">
        <v>5</v>
      </c>
      <c r="V7" s="6" t="s">
        <v>2</v>
      </c>
      <c r="W7" s="6" t="s">
        <v>2</v>
      </c>
      <c r="X7" s="6" t="s">
        <v>3</v>
      </c>
      <c r="Y7" s="6" t="s">
        <v>3</v>
      </c>
      <c r="Z7" s="6" t="s">
        <v>4</v>
      </c>
      <c r="AA7" s="6" t="s">
        <v>4</v>
      </c>
      <c r="AB7" s="6" t="s">
        <v>5</v>
      </c>
      <c r="AC7" s="6" t="s">
        <v>6</v>
      </c>
      <c r="AD7" s="6" t="s">
        <v>2</v>
      </c>
      <c r="AE7" s="6" t="s">
        <v>2</v>
      </c>
      <c r="AF7" s="7" t="s">
        <v>3</v>
      </c>
      <c r="AG7" s="8">
        <f>COUNTIF(B7:AF7,"R/N")+COUNTIF(B7:AF7,"R/D")</f>
      </c>
    </row>
    <row x14ac:dyDescent="0.25" r="8" customHeight="1" ht="18.75">
      <c r="A8" s="5">
        <v>21295</v>
      </c>
      <c r="B8" s="6" t="s">
        <v>8</v>
      </c>
      <c r="C8" s="6" t="s">
        <v>8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6" t="s">
        <v>8</v>
      </c>
      <c r="J8" s="6" t="s">
        <v>8</v>
      </c>
      <c r="K8" s="6" t="s">
        <v>7</v>
      </c>
      <c r="L8" s="6" t="s">
        <v>7</v>
      </c>
      <c r="M8" s="6" t="s">
        <v>7</v>
      </c>
      <c r="N8" s="6" t="s">
        <v>7</v>
      </c>
      <c r="O8" s="6" t="s">
        <v>7</v>
      </c>
      <c r="P8" s="6" t="s">
        <v>8</v>
      </c>
      <c r="Q8" s="6" t="s">
        <v>8</v>
      </c>
      <c r="R8" s="6" t="s">
        <v>7</v>
      </c>
      <c r="S8" s="6" t="s">
        <v>7</v>
      </c>
      <c r="T8" s="6" t="s">
        <v>7</v>
      </c>
      <c r="U8" s="6" t="s">
        <v>7</v>
      </c>
      <c r="V8" s="6" t="s">
        <v>2</v>
      </c>
      <c r="W8" s="6" t="s">
        <v>2</v>
      </c>
      <c r="X8" s="6" t="s">
        <v>3</v>
      </c>
      <c r="Y8" s="6" t="s">
        <v>3</v>
      </c>
      <c r="Z8" s="6" t="s">
        <v>5</v>
      </c>
      <c r="AA8" s="6" t="s">
        <v>6</v>
      </c>
      <c r="AB8" s="6" t="s">
        <v>5</v>
      </c>
      <c r="AC8" s="6" t="s">
        <v>5</v>
      </c>
      <c r="AD8" s="6" t="s">
        <v>2</v>
      </c>
      <c r="AE8" s="6" t="s">
        <v>2</v>
      </c>
      <c r="AF8" s="7" t="s">
        <v>3</v>
      </c>
      <c r="AG8" s="8">
        <f>COUNTIF(B8:AF8,"R/N")+COUNTIF(B8:AF8,"R/D")</f>
      </c>
    </row>
    <row x14ac:dyDescent="0.25" r="9" customHeight="1" ht="18.75">
      <c r="A9" s="5">
        <v>19573</v>
      </c>
      <c r="B9" s="6" t="s">
        <v>5</v>
      </c>
      <c r="C9" s="6" t="s">
        <v>5</v>
      </c>
      <c r="D9" s="6" t="s">
        <v>2</v>
      </c>
      <c r="E9" s="6" t="s">
        <v>2</v>
      </c>
      <c r="F9" s="6" t="s">
        <v>3</v>
      </c>
      <c r="G9" s="6" t="s">
        <v>3</v>
      </c>
      <c r="H9" s="6" t="s">
        <v>5</v>
      </c>
      <c r="I9" s="6" t="s">
        <v>4</v>
      </c>
      <c r="J9" s="6" t="s">
        <v>5</v>
      </c>
      <c r="K9" s="6" t="s">
        <v>5</v>
      </c>
      <c r="L9" s="6" t="s">
        <v>2</v>
      </c>
      <c r="M9" s="6" t="s">
        <v>2</v>
      </c>
      <c r="N9" s="6" t="s">
        <v>3</v>
      </c>
      <c r="O9" s="6" t="s">
        <v>3</v>
      </c>
      <c r="P9" s="6" t="s">
        <v>5</v>
      </c>
      <c r="Q9" s="6" t="s">
        <v>5</v>
      </c>
      <c r="R9" s="6" t="s">
        <v>6</v>
      </c>
      <c r="S9" s="6" t="s">
        <v>5</v>
      </c>
      <c r="T9" s="6" t="s">
        <v>2</v>
      </c>
      <c r="U9" s="6" t="s">
        <v>2</v>
      </c>
      <c r="V9" s="6" t="s">
        <v>3</v>
      </c>
      <c r="W9" s="6" t="s">
        <v>3</v>
      </c>
      <c r="X9" s="6" t="s">
        <v>5</v>
      </c>
      <c r="Y9" s="6" t="s">
        <v>5</v>
      </c>
      <c r="Z9" s="6" t="s">
        <v>6</v>
      </c>
      <c r="AA9" s="6" t="s">
        <v>5</v>
      </c>
      <c r="AB9" s="6" t="s">
        <v>2</v>
      </c>
      <c r="AC9" s="6" t="s">
        <v>2</v>
      </c>
      <c r="AD9" s="6" t="s">
        <v>3</v>
      </c>
      <c r="AE9" s="6" t="s">
        <v>3</v>
      </c>
      <c r="AF9" s="7" t="s">
        <v>5</v>
      </c>
      <c r="AG9" s="8">
        <f>COUNTIF(B9:AF9,"R/N")+COUNTIF(B9:AF9,"R/D")</f>
      </c>
    </row>
    <row x14ac:dyDescent="0.25" r="10" customHeight="1" ht="18.75">
      <c r="A10" s="5">
        <v>18383</v>
      </c>
      <c r="B10" s="6" t="s">
        <v>5</v>
      </c>
      <c r="C10" s="6" t="s">
        <v>5</v>
      </c>
      <c r="D10" s="6" t="s">
        <v>2</v>
      </c>
      <c r="E10" s="6" t="s">
        <v>2</v>
      </c>
      <c r="F10" s="6" t="s">
        <v>3</v>
      </c>
      <c r="G10" s="6" t="s">
        <v>3</v>
      </c>
      <c r="H10" s="6" t="s">
        <v>5</v>
      </c>
      <c r="I10" s="6" t="s">
        <v>5</v>
      </c>
      <c r="J10" s="6" t="s">
        <v>5</v>
      </c>
      <c r="K10" s="6" t="s">
        <v>5</v>
      </c>
      <c r="L10" s="6" t="s">
        <v>2</v>
      </c>
      <c r="M10" s="6" t="s">
        <v>2</v>
      </c>
      <c r="N10" s="6" t="s">
        <v>3</v>
      </c>
      <c r="O10" s="6" t="s">
        <v>3</v>
      </c>
      <c r="P10" s="6" t="s">
        <v>5</v>
      </c>
      <c r="Q10" s="6" t="s">
        <v>5</v>
      </c>
      <c r="R10" s="6" t="s">
        <v>5</v>
      </c>
      <c r="S10" s="6" t="s">
        <v>5</v>
      </c>
      <c r="T10" s="6" t="s">
        <v>2</v>
      </c>
      <c r="U10" s="6" t="s">
        <v>2</v>
      </c>
      <c r="V10" s="6" t="s">
        <v>3</v>
      </c>
      <c r="W10" s="6" t="s">
        <v>3</v>
      </c>
      <c r="X10" s="6" t="s">
        <v>5</v>
      </c>
      <c r="Y10" s="6" t="s">
        <v>5</v>
      </c>
      <c r="Z10" s="6" t="s">
        <v>5</v>
      </c>
      <c r="AA10" s="6" t="s">
        <v>5</v>
      </c>
      <c r="AB10" s="6" t="s">
        <v>2</v>
      </c>
      <c r="AC10" s="6" t="s">
        <v>9</v>
      </c>
      <c r="AD10" s="6" t="s">
        <v>3</v>
      </c>
      <c r="AE10" s="6" t="s">
        <v>3</v>
      </c>
      <c r="AF10" s="7" t="s">
        <v>5</v>
      </c>
      <c r="AG10" s="8">
        <f>COUNTIF(B10:AF10,"R/N")+COUNTIF(B10:AF10,"R/D")</f>
      </c>
    </row>
    <row x14ac:dyDescent="0.25" r="11" customHeight="1" ht="18.75">
      <c r="A11" s="5">
        <v>24132</v>
      </c>
      <c r="B11" s="6" t="s">
        <v>8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  <c r="H11" s="6" t="s">
        <v>8</v>
      </c>
      <c r="I11" s="6" t="s">
        <v>8</v>
      </c>
      <c r="J11" s="6" t="s">
        <v>7</v>
      </c>
      <c r="K11" s="6" t="s">
        <v>7</v>
      </c>
      <c r="L11" s="6" t="s">
        <v>7</v>
      </c>
      <c r="M11" s="6" t="s">
        <v>7</v>
      </c>
      <c r="N11" s="6" t="s">
        <v>7</v>
      </c>
      <c r="O11" s="6" t="s">
        <v>8</v>
      </c>
      <c r="P11" s="6" t="s">
        <v>8</v>
      </c>
      <c r="Q11" s="6" t="s">
        <v>7</v>
      </c>
      <c r="R11" s="6" t="s">
        <v>7</v>
      </c>
      <c r="S11" s="6" t="s">
        <v>7</v>
      </c>
      <c r="T11" s="6" t="s">
        <v>2</v>
      </c>
      <c r="U11" s="6" t="s">
        <v>2</v>
      </c>
      <c r="V11" s="6" t="s">
        <v>3</v>
      </c>
      <c r="W11" s="6" t="s">
        <v>3</v>
      </c>
      <c r="X11" s="6" t="s">
        <v>5</v>
      </c>
      <c r="Y11" s="6" t="s">
        <v>5</v>
      </c>
      <c r="Z11" s="6" t="s">
        <v>5</v>
      </c>
      <c r="AA11" s="6" t="s">
        <v>5</v>
      </c>
      <c r="AB11" s="6" t="s">
        <v>2</v>
      </c>
      <c r="AC11" s="6" t="s">
        <v>2</v>
      </c>
      <c r="AD11" s="6" t="s">
        <v>3</v>
      </c>
      <c r="AE11" s="6" t="s">
        <v>3</v>
      </c>
      <c r="AF11" s="7" t="s">
        <v>5</v>
      </c>
      <c r="AG11" s="8">
        <f>COUNTIF(B11:AF11,"R/N")+COUNTIF(B11:AF11,"R/D")</f>
      </c>
    </row>
    <row x14ac:dyDescent="0.25" r="12" customHeight="1" ht="18.75">
      <c r="A12" s="5">
        <v>18615</v>
      </c>
      <c r="B12" s="6" t="s">
        <v>5</v>
      </c>
      <c r="C12" s="6" t="s">
        <v>5</v>
      </c>
      <c r="D12" s="6" t="s">
        <v>5</v>
      </c>
      <c r="E12" s="6" t="s">
        <v>5</v>
      </c>
      <c r="F12" s="6" t="s">
        <v>2</v>
      </c>
      <c r="G12" s="6" t="s">
        <v>2</v>
      </c>
      <c r="H12" s="6" t="s">
        <v>3</v>
      </c>
      <c r="I12" s="6" t="s">
        <v>3</v>
      </c>
      <c r="J12" s="6" t="s">
        <v>5</v>
      </c>
      <c r="K12" s="6" t="s">
        <v>5</v>
      </c>
      <c r="L12" s="6" t="s">
        <v>5</v>
      </c>
      <c r="M12" s="6" t="s">
        <v>5</v>
      </c>
      <c r="N12" s="6" t="s">
        <v>2</v>
      </c>
      <c r="O12" s="6" t="s">
        <v>2</v>
      </c>
      <c r="P12" s="6" t="s">
        <v>3</v>
      </c>
      <c r="Q12" s="6" t="s">
        <v>3</v>
      </c>
      <c r="R12" s="6" t="s">
        <v>5</v>
      </c>
      <c r="S12" s="6" t="s">
        <v>5</v>
      </c>
      <c r="T12" s="6" t="s">
        <v>5</v>
      </c>
      <c r="U12" s="6" t="s">
        <v>5</v>
      </c>
      <c r="V12" s="6" t="s">
        <v>2</v>
      </c>
      <c r="W12" s="6" t="s">
        <v>2</v>
      </c>
      <c r="X12" s="6" t="s">
        <v>3</v>
      </c>
      <c r="Y12" s="6" t="s">
        <v>3</v>
      </c>
      <c r="Z12" s="6" t="s">
        <v>5</v>
      </c>
      <c r="AA12" s="6" t="s">
        <v>5</v>
      </c>
      <c r="AB12" s="6" t="s">
        <v>5</v>
      </c>
      <c r="AC12" s="6" t="s">
        <v>5</v>
      </c>
      <c r="AD12" s="6" t="s">
        <v>2</v>
      </c>
      <c r="AE12" s="6" t="s">
        <v>2</v>
      </c>
      <c r="AF12" s="7" t="s">
        <v>3</v>
      </c>
      <c r="AG12" s="8">
        <f>COUNTIF(B12:AF12,"R/N")+COUNTIF(B12:AF12,"R/D")</f>
      </c>
    </row>
    <row x14ac:dyDescent="0.25" r="13" customHeight="1" ht="19.5">
      <c r="A13" s="9">
        <v>17997</v>
      </c>
      <c r="B13" s="10" t="s">
        <v>3</v>
      </c>
      <c r="C13" s="10" t="s">
        <v>3</v>
      </c>
      <c r="D13" s="10" t="s">
        <v>5</v>
      </c>
      <c r="E13" s="10" t="s">
        <v>5</v>
      </c>
      <c r="F13" s="10" t="s">
        <v>5</v>
      </c>
      <c r="G13" s="10" t="s">
        <v>5</v>
      </c>
      <c r="H13" s="10" t="s">
        <v>2</v>
      </c>
      <c r="I13" s="10" t="s">
        <v>2</v>
      </c>
      <c r="J13" s="10" t="s">
        <v>3</v>
      </c>
      <c r="K13" s="10" t="s">
        <v>3</v>
      </c>
      <c r="L13" s="10" t="s">
        <v>5</v>
      </c>
      <c r="M13" s="10" t="s">
        <v>5</v>
      </c>
      <c r="N13" s="10" t="s">
        <v>5</v>
      </c>
      <c r="O13" s="10" t="s">
        <v>5</v>
      </c>
      <c r="P13" s="10" t="s">
        <v>2</v>
      </c>
      <c r="Q13" s="10" t="s">
        <v>2</v>
      </c>
      <c r="R13" s="10" t="s">
        <v>3</v>
      </c>
      <c r="S13" s="10" t="s">
        <v>3</v>
      </c>
      <c r="T13" s="10" t="s">
        <v>5</v>
      </c>
      <c r="U13" s="10" t="s">
        <v>5</v>
      </c>
      <c r="V13" s="10" t="s">
        <v>5</v>
      </c>
      <c r="W13" s="10" t="s">
        <v>5</v>
      </c>
      <c r="X13" s="10" t="s">
        <v>2</v>
      </c>
      <c r="Y13" s="10" t="s">
        <v>2</v>
      </c>
      <c r="Z13" s="10" t="s">
        <v>3</v>
      </c>
      <c r="AA13" s="10" t="s">
        <v>3</v>
      </c>
      <c r="AB13" s="10" t="s">
        <v>5</v>
      </c>
      <c r="AC13" s="10" t="s">
        <v>5</v>
      </c>
      <c r="AD13" s="10" t="s">
        <v>5</v>
      </c>
      <c r="AE13" s="10" t="s">
        <v>5</v>
      </c>
      <c r="AF13" s="11" t="s">
        <v>2</v>
      </c>
      <c r="AG13" s="8">
        <f>COUNTIF(B13:AF13,"R/N")+COUNTIF(B13:AF13,"R/D")</f>
      </c>
    </row>
    <row x14ac:dyDescent="0.25" r="14" customHeight="1" ht="19.5">
      <c r="A14" s="12" t="s">
        <v>2</v>
      </c>
      <c r="B14" s="13">
        <f>COUNTIF(B2:B13,"D")+COUNTIF(B2:B13,"R/D")</f>
      </c>
      <c r="C14" s="14">
        <f>COUNTIF(C2:C13,"D")+COUNTIF(C2:C13,"R/D")</f>
      </c>
      <c r="D14" s="14">
        <f>COUNTIF(D2:D13,"D")+COUNTIF(D2:D13,"R/D")</f>
      </c>
      <c r="E14" s="14">
        <f>COUNTIF(E2:E13,"D")+COUNTIF(E2:E13,"R/D")</f>
      </c>
      <c r="F14" s="14">
        <f>COUNTIF(F2:F13,"D")+COUNTIF(F2:F13,"R/D")</f>
      </c>
      <c r="G14" s="14">
        <f>COUNTIF(G2:G13,"D")+COUNTIF(G2:G13,"R/D")</f>
      </c>
      <c r="H14" s="14">
        <f>COUNTIF(H2:H13,"D")+COUNTIF(H2:H13,"R/D")</f>
      </c>
      <c r="I14" s="14">
        <f>COUNTIF(I2:I13,"D")+COUNTIF(I2:I13,"R/D")</f>
      </c>
      <c r="J14" s="14">
        <f>COUNTIF(J2:J13,"D")+COUNTIF(J2:J13,"R/D")</f>
      </c>
      <c r="K14" s="14">
        <f>COUNTIF(K2:K13,"D")+COUNTIF(K2:K13,"R/D")</f>
      </c>
      <c r="L14" s="14">
        <f>COUNTIF(L2:L13,"D")+COUNTIF(L2:L13,"R/D")</f>
      </c>
      <c r="M14" s="14">
        <f>COUNTIF(M2:M13,"D")+COUNTIF(M2:M13,"R/D")</f>
      </c>
      <c r="N14" s="14">
        <f>COUNTIF(N2:N13,"D")+COUNTIF(N2:N13,"R/D")</f>
      </c>
      <c r="O14" s="14">
        <f>COUNTIF(O2:O13,"D")+COUNTIF(O2:O13,"R/D")</f>
      </c>
      <c r="P14" s="14">
        <f>COUNTIF(P2:P13,"D")+COUNTIF(P2:P13,"R/D")</f>
      </c>
      <c r="Q14" s="14">
        <f>COUNTIF(Q2:Q13,"D")+COUNTIF(Q2:Q13,"R/D")</f>
      </c>
      <c r="R14" s="14">
        <f>COUNTIF(R2:R13,"D")+COUNTIF(R2:R13,"R/D")</f>
      </c>
      <c r="S14" s="14">
        <f>COUNTIF(S2:S13,"D")+COUNTIF(S2:S13,"R/D")</f>
      </c>
      <c r="T14" s="14">
        <f>COUNTIF(T2:T13,"D")+COUNTIF(T2:T13,"R/D")</f>
      </c>
      <c r="U14" s="14">
        <f>COUNTIF(U2:U13,"D")+COUNTIF(U2:U13,"R/D")</f>
      </c>
      <c r="V14" s="14">
        <f>COUNTIF(V2:V13,"D")+COUNTIF(V2:V13,"R/D")</f>
      </c>
      <c r="W14" s="14">
        <f>COUNTIF(W2:W13,"D")+COUNTIF(W2:W13,"R/D")</f>
      </c>
      <c r="X14" s="14">
        <f>COUNTIF(X2:X13,"D")+COUNTIF(X2:X13,"R/D")</f>
      </c>
      <c r="Y14" s="14">
        <f>COUNTIF(Y2:Y13,"D")+COUNTIF(Y2:Y13,"R/D")</f>
      </c>
      <c r="Z14" s="14">
        <f>COUNTIF(Z2:Z13,"D")+COUNTIF(Z2:Z13,"R/D")</f>
      </c>
      <c r="AA14" s="14">
        <f>COUNTIF(AA2:AA13,"D")+COUNTIF(AA2:AA13,"R/D")</f>
      </c>
      <c r="AB14" s="14">
        <f>COUNTIF(AB2:AB13,"D")+COUNTIF(AB2:AB13,"R/D")</f>
      </c>
      <c r="AC14" s="14">
        <f>COUNTIF(AC2:AC13,"D")+COUNTIF(AC2:AC13,"R/D")</f>
      </c>
      <c r="AD14" s="14">
        <f>COUNTIF(AD2:AD13,"D")+COUNTIF(AD2:AD13,"R/D")</f>
      </c>
      <c r="AE14" s="14">
        <f>COUNTIF(AE2:AE13,"D")+COUNTIF(AE2:AE13,"R/D")</f>
      </c>
      <c r="AF14" s="14">
        <f>COUNTIF(AF2:AF13,"D")+COUNTIF(AF2:AF13,"R/D")</f>
      </c>
      <c r="AG14" s="15"/>
    </row>
    <row x14ac:dyDescent="0.25" r="15" customHeight="1" ht="19.5">
      <c r="A15" s="16" t="s">
        <v>3</v>
      </c>
      <c r="B15" s="17">
        <f>COUNTIF(B2:B13,"N")+COUNTIF(B2:B13,"R/N")</f>
      </c>
      <c r="C15" s="6">
        <f>COUNTIF(C2:C13,"N")+COUNTIF(C2:C13,"R/N")</f>
      </c>
      <c r="D15" s="6">
        <f>COUNTIF(D2:D13,"N")+COUNTIF(D2:D13,"R/N")</f>
      </c>
      <c r="E15" s="6">
        <f>COUNTIF(E2:E13,"N")+COUNTIF(E2:E13,"R/N")</f>
      </c>
      <c r="F15" s="6">
        <f>COUNTIF(F2:F13,"N")+COUNTIF(F2:F13,"R/N")</f>
      </c>
      <c r="G15" s="6">
        <f>COUNTIF(G2:G13,"N")+COUNTIF(G2:G13,"R/N")</f>
      </c>
      <c r="H15" s="6">
        <f>COUNTIF(H2:H13,"N")+COUNTIF(H2:H13,"R/N")</f>
      </c>
      <c r="I15" s="6">
        <f>COUNTIF(I2:I13,"N")+COUNTIF(I2:I13,"R/N")</f>
      </c>
      <c r="J15" s="6">
        <f>COUNTIF(J2:J13,"N")+COUNTIF(J2:J13,"R/N")</f>
      </c>
      <c r="K15" s="6">
        <f>COUNTIF(K2:K13,"N")+COUNTIF(K2:K13,"R/N")</f>
      </c>
      <c r="L15" s="6">
        <f>COUNTIF(L2:L13,"N")+COUNTIF(L2:L13,"R/N")</f>
      </c>
      <c r="M15" s="6">
        <f>COUNTIF(M2:M13,"N")+COUNTIF(M2:M13,"R/N")</f>
      </c>
      <c r="N15" s="6">
        <f>COUNTIF(N2:N13,"N")+COUNTIF(N2:N13,"R/N")</f>
      </c>
      <c r="O15" s="6">
        <f>COUNTIF(O2:O13,"N")+COUNTIF(O2:O13,"R/N")</f>
      </c>
      <c r="P15" s="6">
        <f>COUNTIF(P2:P13,"N")+COUNTIF(P2:P13,"R/N")</f>
      </c>
      <c r="Q15" s="6">
        <f>COUNTIF(Q2:Q13,"N")+COUNTIF(Q2:Q13,"R/N")</f>
      </c>
      <c r="R15" s="6">
        <f>COUNTIF(R2:R13,"N")+COUNTIF(R2:R13,"R/N")</f>
      </c>
      <c r="S15" s="6">
        <f>COUNTIF(S2:S13,"N")+COUNTIF(S2:S13,"R/N")</f>
      </c>
      <c r="T15" s="6">
        <f>COUNTIF(T2:T13,"N")+COUNTIF(T2:T13,"R/N")</f>
      </c>
      <c r="U15" s="6">
        <f>COUNTIF(U2:U13,"N")+COUNTIF(U2:U13,"R/N")</f>
      </c>
      <c r="V15" s="6">
        <f>COUNTIF(V2:V13,"N")+COUNTIF(V2:V13,"R/N")</f>
      </c>
      <c r="W15" s="6">
        <f>COUNTIF(W2:W13,"N")+COUNTIF(W2:W13,"R/N")</f>
      </c>
      <c r="X15" s="6">
        <f>COUNTIF(X2:X13,"N")+COUNTIF(X2:X13,"R/N")</f>
      </c>
      <c r="Y15" s="6">
        <f>COUNTIF(Y2:Y13,"N")+COUNTIF(Y2:Y13,"R/N")</f>
      </c>
      <c r="Z15" s="6">
        <f>COUNTIF(Z2:Z13,"N")+COUNTIF(Z2:Z13,"R/N")</f>
      </c>
      <c r="AA15" s="6">
        <f>COUNTIF(AA2:AA13,"N")+COUNTIF(AA2:AA13,"R/N")</f>
      </c>
      <c r="AB15" s="6">
        <f>COUNTIF(AB2:AB13,"N")+COUNTIF(AB2:AB13,"R/N")</f>
      </c>
      <c r="AC15" s="6">
        <f>COUNTIF(AC2:AC13,"N")+COUNTIF(AC2:AC13,"R/N")</f>
      </c>
      <c r="AD15" s="6">
        <f>COUNTIF(AD2:AD13,"N")+COUNTIF(AD2:AD13,"R/N")</f>
      </c>
      <c r="AE15" s="6">
        <f>COUNTIF(AE2:AE13,"N")+COUNTIF(AE2:AE13,"R/N")</f>
      </c>
      <c r="AF15" s="6">
        <f>COUNTIF(AF2:AF13,"N")+COUNTIF(AF2:AF13,"R/N")</f>
      </c>
      <c r="AG15" s="15"/>
    </row>
    <row x14ac:dyDescent="0.25" r="16" customHeight="1" ht="20.25">
      <c r="A16" s="18" t="s">
        <v>5</v>
      </c>
      <c r="B16" s="17">
        <f>COUNTIF(B2:B13,"R")</f>
      </c>
      <c r="C16" s="6">
        <f>COUNTIF(C2:C13,"R")</f>
      </c>
      <c r="D16" s="6">
        <f>COUNTIF(D2:D13,"R")</f>
      </c>
      <c r="E16" s="6">
        <f>COUNTIF(E2:E13,"R")</f>
      </c>
      <c r="F16" s="6">
        <f>COUNTIF(F2:F13,"R")</f>
      </c>
      <c r="G16" s="6">
        <f>COUNTIF(G2:G13,"R")</f>
      </c>
      <c r="H16" s="6">
        <f>COUNTIF(H2:H13,"R")</f>
      </c>
      <c r="I16" s="6">
        <f>COUNTIF(I2:I13,"R")</f>
      </c>
      <c r="J16" s="6">
        <f>COUNTIF(J2:J13,"R")</f>
      </c>
      <c r="K16" s="6">
        <f>COUNTIF(K2:K13,"R")</f>
      </c>
      <c r="L16" s="6">
        <f>COUNTIF(L2:L13,"R")</f>
      </c>
      <c r="M16" s="6">
        <f>COUNTIF(M2:M13,"R")</f>
      </c>
      <c r="N16" s="6">
        <f>COUNTIF(N2:N13,"R")</f>
      </c>
      <c r="O16" s="6">
        <f>COUNTIF(O2:O13,"R")</f>
      </c>
      <c r="P16" s="6">
        <f>COUNTIF(P2:P13,"R")</f>
      </c>
      <c r="Q16" s="6">
        <f>COUNTIF(Q2:Q13,"R")</f>
      </c>
      <c r="R16" s="6">
        <f>COUNTIF(R2:R13,"R")</f>
      </c>
      <c r="S16" s="6">
        <f>COUNTIF(S2:S13,"R")</f>
      </c>
      <c r="T16" s="6">
        <f>COUNTIF(T2:T13,"R")</f>
      </c>
      <c r="U16" s="6">
        <f>COUNTIF(U2:U13,"R")</f>
      </c>
      <c r="V16" s="6">
        <f>COUNTIF(V2:V13,"R")</f>
      </c>
      <c r="W16" s="6">
        <f>COUNTIF(W2:W13,"R")</f>
      </c>
      <c r="X16" s="6">
        <f>COUNTIF(X2:X13,"R")</f>
      </c>
      <c r="Y16" s="6">
        <f>COUNTIF(Y2:Y13,"R")</f>
      </c>
      <c r="Z16" s="6">
        <f>COUNTIF(Z2:Z13,"R")</f>
      </c>
      <c r="AA16" s="6">
        <f>COUNTIF(AA2:AA13,"R")</f>
      </c>
      <c r="AB16" s="6">
        <f>COUNTIF(AB2:AB13,"R")</f>
      </c>
      <c r="AC16" s="6">
        <f>COUNTIF(AC2:AC13,"R")</f>
      </c>
      <c r="AD16" s="6">
        <f>COUNTIF(AD2:AD13,"R")</f>
      </c>
      <c r="AE16" s="6">
        <f>COUNTIF(AE2:AE13,"R")</f>
      </c>
      <c r="AF16" s="6">
        <f>COUNTIF(AF2:AF13,"R")</f>
      </c>
      <c r="AG16" s="1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2025-08-04T12:20:34.748Z</dcterms:created>
  <dcterms:modified xsi:type="dcterms:W3CDTF">2025-08-04T12:20:34.748Z</dcterms:modified>
</cp:coreProperties>
</file>